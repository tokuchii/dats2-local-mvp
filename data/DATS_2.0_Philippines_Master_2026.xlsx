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30823909be4820" /></Relationships>
</file>

<file path=xl/workbook.xml><?xml version="1.0" encoding="utf-8"?>
<x:workbook xmlns:x="http://schemas.openxmlformats.org/spreadsheetml/2006/main">
  <x:sheets>
    <x:sheet xmlns:r="http://schemas.openxmlformats.org/officeDocument/2006/relationships" name="Dashboard" sheetId="1" r:id="Rd126086d3de04935"/>
    <x:sheet xmlns:r="http://schemas.openxmlformats.org/officeDocument/2006/relationships" name="DATS 2.0 Inventory" sheetId="2" r:id="R395b24b2526b479e"/>
    <x:sheet xmlns:r="http://schemas.openxmlformats.org/officeDocument/2006/relationships" name="Scaling Scan" sheetId="3" r:id="R174c4147964a44ce"/>
    <x:sheet xmlns:r="http://schemas.openxmlformats.org/officeDocument/2006/relationships" name="Taxonomy &amp; Codebook" sheetId="4" r:id="Rea46582299be4f0a"/>
    <x:sheet xmlns:r="http://schemas.openxmlformats.org/officeDocument/2006/relationships" name="Bottlenecks &amp; Evidence" sheetId="5" r:id="R17aed73a5dbe43f0"/>
    <x:sheet xmlns:r="http://schemas.openxmlformats.org/officeDocument/2006/relationships" name="SINAG Integration Map" sheetId="6" r:id="Rc99ca0a308c84742"/>
    <x:sheet xmlns:r="http://schemas.openxmlformats.org/officeDocument/2006/relationships" name="Literature &amp; Sources" sheetId="7" r:id="Rff725ba00f3141f3"/>
    <x:sheet xmlns:r="http://schemas.openxmlformats.org/officeDocument/2006/relationships" name="Source Code &amp; Interop" sheetId="8" r:id="Re18b8dfe59264c7e"/>
    <x:sheet xmlns:r="http://schemas.openxmlformats.org/officeDocument/2006/relationships" name="Research Prototypes" sheetId="9" r:id="R684a87262ddc4aae"/>
    <x:sheet xmlns:r="http://schemas.openxmlformats.org/officeDocument/2006/relationships" name="Category Crosswalk" sheetId="10" r:id="Re657fde13483440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
    <x:numFmt numFmtId="202" formatCode="0"/>
  </x:numFmts>
  <x:fonts count="10">
    <x:font>
      <x:sz val="11"/>
      <x:name val="Carlito"/>
    </x:font>
    <x:font>
      <x:b/>
      <x:sz val="20"/>
      <x:color rgb="FFFFFFFF"/>
      <x:name val="Carlito"/>
    </x:font>
    <x:font>
      <x:sz val="10"/>
      <x:color rgb="FFD8E6EF"/>
      <x:name val="Carlito"/>
    </x:font>
    <x:font>
      <x:b/>
      <x:sz val="9"/>
      <x:color rgb="FFFFFFFF"/>
      <x:name val="Carlito"/>
    </x:font>
    <x:font>
      <x:sz val="9"/>
      <x:color rgb="FF24313D"/>
      <x:name val="Carlito"/>
    </x:font>
    <x:font>
      <x:sz val="9"/>
      <x:color rgb="FF155E75"/>
      <x:name val="Carlito"/>
    </x:font>
    <x:font>
      <x:b/>
      <x:sz val="12"/>
      <x:color rgb="FFFFFFFF"/>
      <x:name val="Carlito"/>
    </x:font>
    <x:font>
      <x:sz val="9"/>
      <x:color rgb="FF704A00"/>
      <x:name val="Carlito"/>
    </x:font>
    <x:font>
      <x:b/>
      <x:sz val="16"/>
      <x:color rgb="FF17324D"/>
      <x:name val="Carlito"/>
    </x:font>
    <x:font>
      <x:b/>
      <x:sz val="14"/>
      <x:color rgb="FF17324D"/>
      <x:name val="Carlito"/>
    </x:font>
  </x:fonts>
  <x:fills count="13">
    <x:fill>
      <x:patternFill patternType="none"/>
    </x:fill>
    <x:fill>
      <x:patternFill patternType="gray125"/>
    </x:fill>
    <x:fill>
      <x:patternFill patternType="solid">
        <x:fgColor rgb="FF17324D"/>
      </x:patternFill>
    </x:fill>
    <x:fill>
      <x:patternFill patternType="solid">
        <x:fgColor rgb="FF2E8B78"/>
      </x:patternFill>
    </x:fill>
    <x:fill>
      <x:patternFill patternType="solid">
        <x:fgColor rgb="FF1F6E8C"/>
      </x:patternFill>
    </x:fill>
    <x:fill>
      <x:patternFill patternType="solid">
        <x:fgColor rgb="FFFFF7E6"/>
      </x:patternFill>
    </x:fill>
    <x:fill>
      <x:patternFill patternType="solid">
        <x:fgColor rgb="FFEEF5F7"/>
      </x:patternFill>
    </x:fill>
    <x:fill>
      <x:patternFill patternType="solid">
        <x:fgColor rgb="FFF7FAFB"/>
      </x:patternFill>
    </x:fill>
    <x:fill>
      <x:patternFill patternType="solid">
        <x:fgColor rgb="FFF2F8F6"/>
      </x:patternFill>
    </x:fill>
    <x:fill>
      <x:patternFill patternType="solid">
        <x:fgColor rgb="FF2E8B78"/>
      </x:patternFill>
    </x:fill>
    <x:fill>
      <x:patternFill patternType="solid">
        <x:fgColor rgb="FF17324D"/>
      </x:patternFill>
    </x:fill>
    <x:fill>
      <x:patternFill patternType="solid">
        <x:fgColor rgb="FF1F6E8C"/>
      </x:patternFill>
    </x:fill>
    <x:fill>
      <x:patternFill patternType="solid">
        <x:fgColor rgb="FFEEF5F7"/>
      </x:patternFill>
    </x:fill>
  </x:fills>
  <x:borders count="2">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200" fontId="4" fillId="0" borderId="0" xfId="0" applyNumberFormat="1" applyFont="1" applyFill="1" applyBorder="1" applyAlignment="1">
      <x:alignment horizontal="center" vertical="top" wrapText="1"/>
    </x:xf>
    <x:xf numFmtId="200" fontId="4" fillId="0" borderId="1" xfId="0" applyNumberFormat="1" applyFont="1" applyFill="1" applyBorder="1" applyAlignment="1">
      <x:alignment horizontal="center" vertical="top" wrapText="1"/>
    </x:xf>
    <x:xf numFmtId="0" fontId="4"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4"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4"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vertical="center" wrapText="1"/>
    </x:xf>
    <x:xf numFmtId="0" fontId="4"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1" xfId="0" applyNumberFormat="1" applyFont="1" applyFill="1" applyBorder="1" applyAlignment="1">
      <x:alignment vertic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vertical="center"/>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0" fillId="6" borderId="1" xfId="0" applyNumberFormat="1" applyFont="1" applyFill="1" applyBorder="1"/>
    <x:xf numFmtId="0" fontId="8" fillId="6" borderId="1" xfId="0" applyNumberFormat="1" applyFont="1" applyFill="1" applyBorder="1"/>
    <x:xf numFmtId="0" fontId="8" fillId="6" borderId="1" xfId="0" applyNumberFormat="1" applyFont="1" applyFill="1" applyBorder="1" applyAlignment="1">
      <x:alignment horizontal="center"/>
    </x:xf>
    <x:xf numFmtId="0" fontId="8" fillId="6" borderId="1" xfId="0" applyNumberFormat="1" applyFont="1" applyFill="1" applyBorder="1" applyAlignment="1">
      <x:alignment horizontal="center" vertical="center"/>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9" fillId="6" borderId="0" xfId="0" applyNumberFormat="1" applyFont="1" applyFill="1" applyBorder="1"/>
    <x:xf numFmtId="0" fontId="9" fillId="6" borderId="0" xfId="0" applyNumberFormat="1" applyFont="1" applyFill="1" applyBorder="1" applyAlignment="1">
      <x:alignment horizontal="center"/>
    </x:xf>
    <x:xf numFmtId="0" fontId="9" fillId="6" borderId="0" xfId="0" applyNumberFormat="1" applyFont="1" applyFill="1" applyBorder="1" applyAlignment="1">
      <x:alignment horizontal="center" vertical="center"/>
    </x:xf>
    <x:xf numFmtId="0" fontId="0" fillId="0"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vertical="center"/>
    </x:xf>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6" fillId="11" borderId="0" xfId="0" applyNumberFormat="1" applyFont="1" applyFill="1" applyBorder="1"/>
    <x:xf numFmtId="0" fontId="6" fillId="11" borderId="0" xfId="0" applyNumberFormat="1" applyFont="1" applyFill="1" applyBorder="1" applyAlignment="1">
      <x:alignment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horizontal="center"/>
    </x:xf>
    <x:xf numFmtId="0" fontId="9" fillId="12" borderId="0" xfId="0" applyNumberFormat="1" applyFont="1" applyFill="1" applyBorder="1" applyAlignment="1">
      <x:alignment horizontal="center" vertical="center"/>
    </x:xf>
    <x:xf numFmtId="201" fontId="9" fillId="12" borderId="0" xfId="0" applyNumberFormat="1" applyFont="1" applyFill="1" applyBorder="1" applyAlignment="1">
      <x:alignment horizontal="center" vertical="center"/>
    </x:xf>
    <x:xf numFmtId="202" fontId="9" fillId="12" borderId="0" xfId="0" applyNumberFormat="1" applyFont="1" applyFill="1" applyBorder="1" applyAlignment="1">
      <x:alignment horizontal="center" vertical="center"/>
    </x:xf>
  </x:cellXfs>
  <x:cellStyles count="1">
    <x:cellStyle name="Normal" xfId="0"/>
  </x:cellStyles>
  <x:dxfs count="8">
    <x:dxf>
      <x:font>
        <x:b/>
        <x:color rgb="FF285C26"/>
      </x:font>
      <x:fill>
        <x:patternFill>
          <x:bgColor rgb="FFDDF0D8"/>
        </x:patternFill>
      </x:fill>
    </x:dxf>
    <x:dxf>
      <x:font>
        <x:color rgb="FF754D00"/>
      </x:font>
      <x:fill>
        <x:patternFill>
          <x:bgColor rgb="FFFFF0C9"/>
        </x:patternFill>
      </x:fill>
    </x:dxf>
    <x:dxf>
      <x:font>
        <x:color rgb="FF8A302C"/>
      </x:font>
      <x:fill>
        <x:patternFill>
          <x:bgColor rgb="FFF8DDDA"/>
        </x:patternFill>
      </x:fill>
    </x:dxf>
    <x:dxf>
      <x:font>
        <x:b/>
        <x:color rgb="FF285C26"/>
      </x:font>
      <x:fill>
        <x:patternFill>
          <x:bgColor rgb="FFDDF0D8"/>
        </x:patternFill>
      </x:fill>
    </x:dxf>
    <x:dxf>
      <x:font>
        <x:color rgb="FF754D00"/>
      </x:font>
      <x:fill>
        <x:patternFill>
          <x:bgColor rgb="FFFFF0C9"/>
        </x:patternFill>
      </x:fill>
    </x:dxf>
    <x:dxf>
      <x:font>
        <x:color rgb="FF8A302C"/>
      </x:font>
      <x:fill>
        <x:patternFill>
          <x:bgColor rgb="FFF8DDDA"/>
        </x:patternFill>
      </x:fill>
    </x:dxf>
    <x:dxf>
      <x:fill>
        <x:patternFill>
          <x:bgColor rgb="FFE5F3E1"/>
        </x:patternFill>
      </x:fill>
    </x:dxf>
    <x:dxf>
      <x:fill>
        <x:patternFill>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8d6ad284ee4c77" /><Relationship Type="http://schemas.openxmlformats.org/officeDocument/2006/relationships/theme" Target="/xl/theme/theme1.xml" Id="R76d287bf83a843e1" /><Relationship Type="http://schemas.openxmlformats.org/officeDocument/2006/relationships/sharedStrings" Target="/xl/sharedStrings.xml" Id="R98c1eb71a9214870" /><Relationship Type="http://schemas.openxmlformats.org/officeDocument/2006/relationships/worksheet" Target="/xl/worksheets/sheet1.xml" Id="Rd126086d3de04935" /><Relationship Type="http://schemas.openxmlformats.org/officeDocument/2006/relationships/worksheet" Target="/xl/worksheets/sheet2.xml" Id="R395b24b2526b479e" /><Relationship Type="http://schemas.openxmlformats.org/officeDocument/2006/relationships/worksheet" Target="/xl/worksheets/sheet3.xml" Id="R174c4147964a44ce" /><Relationship Type="http://schemas.openxmlformats.org/officeDocument/2006/relationships/worksheet" Target="/xl/worksheets/sheet4.xml" Id="Rea46582299be4f0a" /><Relationship Type="http://schemas.openxmlformats.org/officeDocument/2006/relationships/worksheet" Target="/xl/worksheets/sheet5.xml" Id="R17aed73a5dbe43f0" /><Relationship Type="http://schemas.openxmlformats.org/officeDocument/2006/relationships/worksheet" Target="/xl/worksheets/sheet6.xml" Id="Rc99ca0a308c84742" /><Relationship Type="http://schemas.openxmlformats.org/officeDocument/2006/relationships/worksheet" Target="/xl/worksheets/sheet7.xml" Id="Rff725ba00f3141f3" /><Relationship Type="http://schemas.openxmlformats.org/officeDocument/2006/relationships/worksheet" Target="/xl/worksheets/sheet8.xml" Id="Re18b8dfe59264c7e" /><Relationship Type="http://schemas.openxmlformats.org/officeDocument/2006/relationships/worksheet" Target="/xl/worksheets/sheet9.xml" Id="R684a87262ddc4aae" /><Relationship Type="http://schemas.openxmlformats.org/officeDocument/2006/relationships/worksheet" Target="/xl/worksheets/sheet10.xml" Id="Re657fde13483440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9ba94e9ac224532" /></Relationships>
</file>

<file path=xl/drawings/_rels/drawing2.xml.rels>&#65279;<?xml version="1.0" encoding="utf-8"?><Relationships xmlns="http://schemas.openxmlformats.org/package/2006/relationships"><Relationship Type="http://schemas.openxmlformats.org/officeDocument/2006/relationships/chart" Target="/xl/drawings/charts/chart2.xml" Id="R170c5b6a562a46a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Primary Category — Distinct System Count</a:t>
            </a:r>
          </a:p>
        </c:rich>
      </c:tx>
      <c:overlay val="0"/>
    </c:title>
    <c:autoTitleDeleted val="0"/>
    <c:plotArea>
      <c:layout/>
      <c:barChart>
        <c:barDir val="col"/>
        <c:varyColors val="0"/>
        <c:ser>
          <c:idx val="0"/>
          <c:order val="0"/>
          <c:tx>
            <c:v>Series 1</c:v>
          </c:tx>
          <c:cat>
            <c:strRef>
              <c:f>'Dashboard'!$A$14:$A$27</c:f>
              <c:strCache>
                <c:ptCount val="0"/>
              </c:strCache>
            </c:strRef>
          </c:cat>
          <c:val>
            <c:numRef>
              <c:f>'Dashboard'!$B$14:$B$27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Functional Coverage — Overlapping Categories</a:t>
            </a:r>
          </a:p>
        </c:rich>
      </c:tx>
      <c:overlay val="0"/>
    </c:title>
    <c:autoTitleDeleted val="0"/>
    <c:plotArea>
      <c:layout/>
      <c:barChart>
        <c:barDir val="col"/>
        <c:varyColors val="0"/>
        <c:ser>
          <c:idx val="0"/>
          <c:order val="0"/>
          <c:tx>
            <c:v>Systems Covering Category</c:v>
          </c:tx>
          <c:cat>
            <c:strRef>
              <c:f>'Category Crosswalk'!$A$5:$A$18</c:f>
              <c:strCache>
                <c:ptCount val="0"/>
              </c:strCache>
            </c:strRef>
          </c:cat>
          <c:val>
            <c:numRef>
              <c:f>'Category Crosswalk'!$B$5:$B$18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29</xdr:row>
      <xdr:rowOff>0</xdr:rowOff>
    </xdr:from>
    <xdr:to>
      <xdr:col>8</xdr:col>
      <xdr:colOff>0</xdr:colOff>
      <xdr:row>49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ba94e9ac224532"/>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29</xdr:row>
      <xdr:rowOff>0</xdr:rowOff>
    </xdr:from>
    <xdr:to>
      <xdr:col>8</xdr:col>
      <xdr:colOff>0</xdr:colOff>
      <xdr:row>48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0c5b6a562a46ae"/>
        </a:graphicData>
      </a:graphic>
    </xdr:graphicFrame>
    <xdr:clientData/>
  </xdr:twoCellAnchor>
</xdr:wsDr>
</file>

<file path=xl/tables/table1.xml><?xml version="1.0" encoding="utf-8"?>
<x:table xmlns:x="http://schemas.openxmlformats.org/spreadsheetml/2006/main" id="10" name="DATS2InventoryTable" displayName="DATS2InventoryTable" ref="A4:AK137" headerRowCount="1">
  <x:tableColumns count="37">
    <x:tableColumn id="1" name="DATS2_ID"/>
    <x:tableColumn id="2" name="System / Tool"/>
    <x:tableColumn id="3" name="Acronym"/>
    <x:tableColumn id="4" name="Developer / Owner"/>
    <x:tableColumn id="5" name="Owner Type"/>
    <x:tableColumn id="6" name="Sector / Commodity"/>
    <x:tableColumn id="7" name="Geographic Scope"/>
    <x:tableColumn id="8" name="Value-chain Stage"/>
    <x:tableColumn id="9" name="Original DATS/PIDS Bucket"/>
    <x:tableColumn id="10" name="DATS 2.0 Category"/>
    <x:tableColumn id="11" name="Core Function"/>
    <x:tableColumn id="12" name="Technology / Channel"/>
    <x:tableColumn id="13" name="Primary Users"/>
    <x:tableColumn id="14" name="CSA: Productivity"/>
    <x:tableColumn id="15" name="CSA: Adaptation"/>
    <x:tableColumn id="16" name="CSA: Mitigation"/>
    <x:tableColumn id="17" name="Maturity"/>
    <x:tableColumn id="18" name="Operating Status"/>
    <x:tableColumn id="19" name="Evidence of Scale / Reach"/>
    <x:tableColumn id="20" name="Main Scaling Strength"/>
    <x:tableColumn id="21" name="Primary Bottleneck"/>
    <x:tableColumn id="22" name="Interoperability / Data Governance"/>
    <x:tableColumn id="23" name="Potential SINAG Role"/>
    <x:tableColumn id="24" name="SINAG Priority"/>
    <x:tableColumn id="25" name="Recommended SINAG Action"/>
    <x:tableColumn id="26" name="Source URL 1"/>
    <x:tableColumn id="27" name="Source URL 2"/>
    <x:tableColumn id="28" name="Last Verified"/>
    <x:tableColumn id="29" name="Evidence Confidence"/>
    <x:tableColumn id="30" name="Notes"/>
    <x:tableColumn id="31" name="Secondary DATS 2.0 Categories"/>
    <x:tableColumn id="32" name="All Functional Category Tags"/>
    <x:tableColumn id="33" name="Commodity / Species Tags"/>
    <x:tableColumn id="34" name="Value-chain Tags"/>
    <x:tableColumn id="35" name="Technology Tags"/>
    <x:tableColumn id="36" name="Functional Category Count"/>
    <x:tableColumn id="37" name="Livestock / Poultry Coverage"/>
  </x:tableColumns>
  <x:tableStyleInfo name="TableStyleMedium2" showRowStripes="1"/>
</x:table>
</file>

<file path=xl/tables/table2.xml><?xml version="1.0" encoding="utf-8"?>
<x:table xmlns:x="http://schemas.openxmlformats.org/spreadsheetml/2006/main" id="11" name="ScalingScanTable" displayName="ScalingScanTable" ref="A4:Y137" headerRowCount="1">
  <x:tableColumns count="25">
    <x:tableColumn id="1" name="DATS2_ID"/>
    <x:tableColumn id="2" name="System / Tool"/>
    <x:tableColumn id="3" name="Owner Type"/>
    <x:tableColumn id="4" name="DATS 2.0 Category"/>
    <x:tableColumn id="5" name="Operating Status"/>
    <x:tableColumn id="6" name="Evidence Confidence"/>
    <x:tableColumn id="7" name="Technology robustness"/>
    <x:tableColumn id="8" name="User value / demand"/>
    <x:tableColumn id="9" name="Business / delivery logic"/>
    <x:tableColumn id="10" name="Financial sustainability"/>
    <x:tableColumn id="11" name="Knowledge &amp; skills support"/>
    <x:tableColumn id="12" name="Strategic collaboration"/>
    <x:tableColumn id="13" name="Evidence / M&amp;E"/>
    <x:tableColumn id="14" name="Leadership / ownership"/>
    <x:tableColumn id="15" name="Value-chain linkage"/>
    <x:tableColumn id="16" name="Public-sector governance"/>
    <x:tableColumn id="17" name="Interoperability / standards"/>
    <x:tableColumn id="18" name="Data governance / trust"/>
    <x:tableColumn id="19" name="Operations / maintenance"/>
    <x:tableColumn id="20" name="Localization / inclusion"/>
    <x:tableColumn id="21" name="Overall Score"/>
    <x:tableColumn id="22" name="Critical Gaps (0–1)"/>
    <x:tableColumn id="23" name="Primary Bottleneck"/>
    <x:tableColumn id="24" name="SINAG Priority"/>
    <x:tableColumn id="25" name="Assessment Note"/>
  </x:tableColumns>
  <x:tableStyleInfo name="TableStyleMedium2" showRowStripes="1"/>
</x:table>
</file>

<file path=xl/tables/table3.xml><?xml version="1.0" encoding="utf-8"?>
<x:table xmlns:x="http://schemas.openxmlformats.org/spreadsheetml/2006/main" id="3" name="TaxonomyTable" displayName="TaxonomyTable" ref="A4:D18" headerRowCount="1">
  <x:tableColumns count="4">
    <x:tableColumn id="1" name="DATS 2.0 Category"/>
    <x:tableColumn id="2" name="Definition"/>
    <x:tableColumn id="3" name="Representative Systems"/>
    <x:tableColumn id="4" name="Innovation beyond original DATS"/>
  </x:tableColumns>
  <x:tableStyleInfo name="TableStyleMedium2" showRowStripes="1"/>
</x:table>
</file>

<file path=xl/tables/table4.xml><?xml version="1.0" encoding="utf-8"?>
<x:table xmlns:x="http://schemas.openxmlformats.org/spreadsheetml/2006/main" id="4" name="TechnicalAuditCodebookTable" displayName="TechnicalAuditCodebookTable" ref="A21:D29" headerRowCount="1">
  <x:tableColumns count="4">
    <x:tableColumn id="1" name="Audit Field / Score"/>
    <x:tableColumn id="2" name="Definition"/>
    <x:tableColumn id="3" name="Interpretation"/>
    <x:tableColumn id="4" name="SINAG Use"/>
  </x:tableColumns>
  <x:tableStyleInfo name="TableStyleMedium2" showRowStripes="1"/>
</x:table>
</file>

<file path=xl/tables/table5.xml><?xml version="1.0" encoding="utf-8"?>
<x:table xmlns:x="http://schemas.openxmlformats.org/spreadsheetml/2006/main" id="16" name="MultiLabelRulesTable" displayName="MultiLabelRulesTable" ref="A32:D37" headerRowCount="1">
  <x:tableColumns count="4">
    <x:tableColumn id="1" name="Field"/>
    <x:tableColumn id="2" name="Rule"/>
    <x:tableColumn id="3" name="Why It Matters"/>
    <x:tableColumn id="4" name="Example"/>
  </x:tableColumns>
  <x:tableStyleInfo name="TableStyleMedium2" showRowStripes="1"/>
</x:table>
</file>

<file path=xl/tables/table6.xml><?xml version="1.0" encoding="utf-8"?>
<x:table xmlns:x="http://schemas.openxmlformats.org/spreadsheetml/2006/main" id="5" name="BottleneckTable" displayName="BottleneckTable" ref="A4:G19" headerRowCount="1">
  <x:tableColumns count="7">
    <x:tableColumn id="1" name="Bottleneck Theme"/>
    <x:tableColumn id="2" name="Philippine Manifestation"/>
    <x:tableColumn id="3" name="Most Affected Systems"/>
    <x:tableColumn id="4" name="Why It Blocks Scaling"/>
    <x:tableColumn id="5" name="SINAG / DATS 2.0 Response"/>
    <x:tableColumn id="6" name="Suggested Indicator"/>
    <x:tableColumn id="7" name="Priority Source"/>
  </x:tableColumns>
  <x:tableStyleInfo name="TableStyleMedium2" showRowStripes="1"/>
</x:table>
</file>

<file path=xl/tables/table7.xml><?xml version="1.0" encoding="utf-8"?>
<x:table xmlns:x="http://schemas.openxmlformats.org/spreadsheetml/2006/main" id="6" name="SINAGMapTable" displayName="SINAGMapTable" ref="A4:G15" headerRowCount="1">
  <x:tableColumns count="7">
    <x:tableColumn id="1" name="SINAG Layer"/>
    <x:tableColumn id="2" name="Purpose"/>
    <x:tableColumn id="3" name="Priority System Types"/>
    <x:tableColumn id="4" name="Examples"/>
    <x:tableColumn id="5" name="Integration Mode"/>
    <x:tableColumn id="6" name="Minimum Requirement"/>
    <x:tableColumn id="7" name="Main Risk to Avoid"/>
  </x:tableColumns>
  <x:tableStyleInfo name="TableStyleMedium2" showRowStripes="1"/>
</x:table>
</file>

<file path=xl/tables/table8.xml><?xml version="1.0" encoding="utf-8"?>
<x:table xmlns:x="http://schemas.openxmlformats.org/spreadsheetml/2006/main" id="14" name="LiteratureTable" displayName="LiteratureTable" ref="A4:H33" headerRowCount="1">
  <x:tableColumns count="8">
    <x:tableColumn id="1" name="Year"/>
    <x:tableColumn id="2" name="Reference / Study"/>
    <x:tableColumn id="3" name="Source Type"/>
    <x:tableColumn id="4" name="Scope"/>
    <x:tableColumn id="5" name="Contribution to DATS 2.0"/>
    <x:tableColumn id="6" name="Key Scaling Evidence"/>
    <x:tableColumn id="7" name="URL"/>
    <x:tableColumn id="8" name="How Used"/>
  </x:tableColumns>
  <x:tableStyleInfo name="TableStyleMedium2" showRowStripes="1"/>
</x:table>
</file>

<file path=xl/tables/table9.xml><?xml version="1.0" encoding="utf-8"?>
<x:table xmlns:x="http://schemas.openxmlformats.org/spreadsheetml/2006/main" id="12" name="SourceInteropAuditTable" displayName="SourceInteropAuditTable" ref="A4:U137" headerRowCount="1">
  <x:tableColumns count="21">
    <x:tableColumn id="1" name="DATS2_ID"/>
    <x:tableColumn id="2" name="System / Tool"/>
    <x:tableColumn id="3" name="Owner"/>
    <x:tableColumn id="4" name="Technology / Channel"/>
    <x:tableColumn id="5" name="Public Source Availability"/>
    <x:tableColumn id="6" name="Official Repository Located?"/>
    <x:tableColumn id="7" name="Repository / Binary URL"/>
    <x:tableColumn id="8" name="Public License"/>
    <x:tableColumn id="9" name="Public API Documentation"/>
    <x:tableColumn id="10" name="Machine-readable Export"/>
    <x:tableColumn id="11" name="Documented Integration / Exchange"/>
    <x:tableColumn id="12" name="Offline / Low-bandwidth Evidence"/>
    <x:tableColumn id="13" name="Identity / Authentication Link"/>
    <x:tableColumn id="14" name="Data-standard Evidence"/>
    <x:tableColumn id="15" name="Interoperability Score (0–4)"/>
    <x:tableColumn id="16" name="Portability / Lock-in Risk"/>
    <x:tableColumn id="17" name="Recommended SINAG Integration Pattern"/>
    <x:tableColumn id="18" name="Required Technical Due Diligence"/>
    <x:tableColumn id="19" name="Evidence Source 1"/>
    <x:tableColumn id="20" name="Evidence Source 2"/>
    <x:tableColumn id="21" name="Last Checked"/>
  </x:tableColumns>
  <x:tableStyleInfo name="TableStyleMedium2" showRowStripes="1"/>
</x:table>
</file>

<file path=xl/tables/table10.xml><?xml version="1.0" encoding="utf-8"?>
<x:table xmlns:x="http://schemas.openxmlformats.org/spreadsheetml/2006/main" id="18" name="ResearchPrototypeTable" displayName="ResearchPrototypeTable" ref="A4:T29" headerRowCount="1">
  <x:tableColumns count="20">
    <x:tableColumn id="1" name="Prototype ID"/>
    <x:tableColumn id="2" name="Linked DATS2_ID"/>
    <x:tableColumn id="3" name="Prototype / Research Output"/>
    <x:tableColumn id="4" name="Institution / Developer"/>
    <x:tableColumn id="5" name="Year"/>
    <x:tableColumn id="6" name="Sector / Commodity"/>
    <x:tableColumn id="7" name="Technology"/>
    <x:tableColumn id="8" name="Research / Deployment Stage"/>
    <x:tableColumn id="9" name="Test or Deployment Context"/>
    <x:tableColumn id="10" name="Public Source-Code Status"/>
    <x:tableColumn id="11" name="Repository / License"/>
    <x:tableColumn id="12" name="API / Export Evidence"/>
    <x:tableColumn id="13" name="Interop Readiness (0–4)"/>
    <x:tableColumn id="14" name="Evidence / Validation"/>
    <x:tableColumn id="15" name="Principal Scaling Bottleneck"/>
    <x:tableColumn id="16" name="Potential SINAG Role"/>
    <x:tableColumn id="17" name="Primary Source"/>
    <x:tableColumn id="18" name="Evidence Confidence"/>
    <x:tableColumn id="19" name="Notes"/>
    <x:tableColumn id="20" name="Livestock / Poultry Coverage"/>
  </x:tableColumns>
  <x:tableStyleInfo name="TableStyleMedium2" showRowStripes="1"/>
</x:table>
</file>

<file path=xl/tables/table11.xml><?xml version="1.0" encoding="utf-8"?>
<x:table xmlns:x="http://schemas.openxmlformats.org/spreadsheetml/2006/main" id="19" name="CategoryCrosswalkTable" displayName="CategoryCrosswalkTable" ref="D4:L300" headerRowCount="1">
  <x:tableColumns count="9">
    <x:tableColumn id="1" name="DATS2_ID"/>
    <x:tableColumn id="2" name="System / Tool"/>
    <x:tableColumn id="3" name="Category Role"/>
    <x:tableColumn id="4" name="Functional Category"/>
    <x:tableColumn id="5" name="Commodity / Species Tags"/>
    <x:tableColumn id="6" name="Livestock / Poultry Coverage"/>
    <x:tableColumn id="7" name="Operating Status"/>
    <x:tableColumn id="8" name="SINAG Priority"/>
    <x:tableColumn id="9" name="Developer / Own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15c63bd21140ee" /></Relationships>
</file>

<file path=xl/worksheets/_rels/sheet2.xml.rels>&#65279;<?xml version="1.0" encoding="utf-8"?><Relationships xmlns="http://schemas.openxmlformats.org/package/2006/relationships"><Relationship Type="http://schemas.openxmlformats.org/officeDocument/2006/relationships/table" Target="/xl/tables/table1.xml" Id="R92fdd3a222e042a3" /></Relationships>
</file>

<file path=xl/worksheets/_rels/sheet3.xml.rels>&#65279;<?xml version="1.0" encoding="utf-8"?><Relationships xmlns="http://schemas.openxmlformats.org/package/2006/relationships"><Relationship Type="http://schemas.openxmlformats.org/officeDocument/2006/relationships/table" Target="/xl/tables/table2.xml" Id="R6196c04ce4624bc8" /></Relationships>
</file>

<file path=xl/worksheets/_rels/sheet4.xml.rels>&#65279;<?xml version="1.0" encoding="utf-8"?><Relationships xmlns="http://schemas.openxmlformats.org/package/2006/relationships"><Relationship Type="http://schemas.openxmlformats.org/officeDocument/2006/relationships/table" Target="/xl/tables/table3.xml" Id="Ra8d8affea8b64413" /><Relationship Type="http://schemas.openxmlformats.org/officeDocument/2006/relationships/table" Target="/xl/tables/table4.xml" Id="R3a5577a4b2884ed3" /><Relationship Type="http://schemas.openxmlformats.org/officeDocument/2006/relationships/table" Target="/xl/tables/table5.xml" Id="Ra92d2374aba14356" /></Relationships>
</file>

<file path=xl/worksheets/_rels/sheet5.xml.rels>&#65279;<?xml version="1.0" encoding="utf-8"?><Relationships xmlns="http://schemas.openxmlformats.org/package/2006/relationships"><Relationship Type="http://schemas.openxmlformats.org/officeDocument/2006/relationships/table" Target="/xl/tables/table6.xml" Id="R94131ebface741cc" /></Relationships>
</file>

<file path=xl/worksheets/_rels/sheet6.xml.rels>&#65279;<?xml version="1.0" encoding="utf-8"?><Relationships xmlns="http://schemas.openxmlformats.org/package/2006/relationships"><Relationship Type="http://schemas.openxmlformats.org/officeDocument/2006/relationships/table" Target="/xl/tables/table7.xml" Id="R771f4d13df814b00" /></Relationships>
</file>

<file path=xl/worksheets/_rels/sheet7.xml.rels>&#65279;<?xml version="1.0" encoding="utf-8"?><Relationships xmlns="http://schemas.openxmlformats.org/package/2006/relationships"><Relationship Type="http://schemas.openxmlformats.org/officeDocument/2006/relationships/table" Target="/xl/tables/table8.xml" Id="R2ff08ec471aa4659" /></Relationships>
</file>

<file path=xl/worksheets/_rels/sheet8.xml.rels>&#65279;<?xml version="1.0" encoding="utf-8"?><Relationships xmlns="http://schemas.openxmlformats.org/package/2006/relationships"><Relationship Type="http://schemas.openxmlformats.org/officeDocument/2006/relationships/table" Target="/xl/tables/table9.xml" Id="R9fa426e8e5424f97" /></Relationships>
</file>

<file path=xl/worksheets/_rels/sheet9.xml.rels>&#65279;<?xml version="1.0" encoding="utf-8"?><Relationships xmlns="http://schemas.openxmlformats.org/package/2006/relationships"><Relationship Type="http://schemas.openxmlformats.org/officeDocument/2006/relationships/table" Target="/xl/tables/table10.xml" Id="Rbcbb4f7ed90748c9" /></Relationships>
</file>

<file path=xl/worksheets/_rels/sheet10.xml.rels>&#65279;<?xml version="1.0" encoding="utf-8"?><Relationships xmlns="http://schemas.openxmlformats.org/package/2006/relationships"><Relationship Type="http://schemas.openxmlformats.org/officeDocument/2006/relationships/drawing" Target="/xl/drawings/drawing2.xml" Id="R783e8ed6e8d141e8" /><Relationship Type="http://schemas.openxmlformats.org/officeDocument/2006/relationships/table" Target="/xl/tables/table11.xml" Id="Ra9ce1913a1ac4090" /></Relationships>
</file>

<file path=xl/worksheets/sheet1.xml><?xml version="1.0" encoding="utf-8"?>
<x:worksheet xmlns:x="http://schemas.openxmlformats.org/spreadsheetml/2006/main">
  <x:sheetFormatPr defaultRowHeight="15"/>
  <x:cols>
    <x:col min="1" max="1" width="39" hidden="0" customWidth="1"/>
    <x:col min="2" max="2" width="13" hidden="0" customWidth="1"/>
    <x:col min="3" max="3" width="15" hidden="0" customWidth="1"/>
    <x:col min="4" max="4" width="15" hidden="0" customWidth="1"/>
    <x:col min="5" max="5" width="18" hidden="0" customWidth="1"/>
    <x:col min="6" max="6" width="38" hidden="0" customWidth="1"/>
    <x:col min="7" max="7" width="20" hidden="0" customWidth="1"/>
    <x:col min="8" max="8" width="20" hidden="0" customWidth="1"/>
  </x:cols>
  <x:sheetData>
    <x:row r="1" ht="36" customHeight="1">
      <x:c r="A1" s="4" t="str">
        <x:v>DATS 2.0 — Philippine Digital, Smart and Climate-Smart Agriculture Systems</x:v>
      </x:c>
      <x:c r="B1" s="4" t="str">
        <x:v>DATS 2.0 — Philippine Digital, Smart and Climate-Smart Agriculture Systems</x:v>
      </x:c>
      <x:c r="C1" s="4" t="str">
        <x:v>DATS 2.0 — Philippine Digital, Smart and Climate-Smart Agriculture Systems</x:v>
      </x:c>
      <x:c r="D1" s="4" t="str">
        <x:v>DATS 2.0 — Philippine Digital, Smart and Climate-Smart Agriculture Systems</x:v>
      </x:c>
      <x:c r="E1" s="4" t="str">
        <x:v>DATS 2.0 — Philippine Digital, Smart and Climate-Smart Agriculture Systems</x:v>
      </x:c>
      <x:c r="F1" s="4" t="str">
        <x:v>DATS 2.0 — Philippine Digital, Smart and Climate-Smart Agriculture Systems</x:v>
      </x:c>
      <x:c r="G1" s="4" t="str">
        <x:v>DATS 2.0 — Philippine Digital, Smart and Climate-Smart Agriculture Systems</x:v>
      </x:c>
      <x:c r="H1" s="4" t="str">
        <x:v>DATS 2.0 — Philippine Digital, Smart and Climate-Smart Agriculture Systems</x:v>
      </x:c>
    </x:row>
    <x:row r="2" ht="25" customHeight="1">
      <x:c r="A2" s="10" t="str">
        <x:v>133 main systems and initiatives + 25 research prototypes | Multi-label functional classification | Public, private, research and community sources | Updated 13 July 2026 | Working foundation for SINAG</x:v>
      </x:c>
      <x:c r="B2" s="10" t="str">
        <x:v>133 main systems and initiatives + 25 research prototypes | Multi-label functional classification | Public, private, research and community sources | Updated 13 July 2026 | Working foundation for SINAG</x:v>
      </x:c>
      <x:c r="C2" s="10" t="str">
        <x:v>133 main systems and initiatives + 25 research prototypes | Multi-label functional classification | Public, private, research and community sources | Updated 13 July 2026 | Working foundation for SINAG</x:v>
      </x:c>
      <x:c r="D2" s="10" t="str">
        <x:v>133 main systems and initiatives + 25 research prototypes | Multi-label functional classification | Public, private, research and community sources | Updated 13 July 2026 | Working foundation for SINAG</x:v>
      </x:c>
      <x:c r="E2" s="10" t="str">
        <x:v>133 main systems and initiatives + 25 research prototypes | Multi-label functional classification | Public, private, research and community sources | Updated 13 July 2026 | Working foundation for SINAG</x:v>
      </x:c>
      <x:c r="F2" s="10" t="str">
        <x:v>133 main systems and initiatives + 25 research prototypes | Multi-label functional classification | Public, private, research and community sources | Updated 13 July 2026 | Working foundation for SINAG</x:v>
      </x:c>
      <x:c r="G2" s="10" t="str">
        <x:v>133 main systems and initiatives + 25 research prototypes | Multi-label functional classification | Public, private, research and community sources | Updated 13 July 2026 | Working foundation for SINAG</x:v>
      </x:c>
      <x:c r="H2" s="10" t="str">
        <x:v>133 main systems and initiatives + 25 research prototypes | Multi-label functional classification | Public, private, research and community sources | Updated 13 July 2026 | Working foundation for SINAG</x:v>
      </x:c>
    </x:row>
    <x:row r="4">
      <x:c r="A4" s="50" t="str">
        <x:v>Scope, method and caveats</x:v>
      </x:c>
      <x:c r="B4" s="50" t="str">
        <x:v>Scope, method and caveats</x:v>
      </x:c>
      <x:c r="C4" s="50" t="str">
        <x:v>Scope, method and caveats</x:v>
      </x:c>
      <x:c r="D4" s="50" t="str">
        <x:v>Scope, method and caveats</x:v>
      </x:c>
      <x:c r="E4" s="50" t="str">
        <x:v>Scope, method and caveats</x:v>
      </x:c>
      <x:c r="F4" s="50" t="str">
        <x:v>Scope, method and caveats</x:v>
      </x:c>
      <x:c r="G4" s="50" t="str">
        <x:v>Scope, method and caveats</x:v>
      </x:c>
      <x:c r="H4" s="50" t="str">
        <x:v>Scope, method and caveats</x:v>
      </x:c>
    </x:row>
    <x:row r="5">
      <x:c r="A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B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C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D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E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F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G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H5"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row>
    <x:row r="6">
      <x:c r="A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B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C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D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E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F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G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H6"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row>
    <x:row r="7">
      <x:c r="A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B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C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D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E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F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G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c r="H7" s="57" t="str">
        <x:v>This edition reconstructs and extends D4AgPH/DATS through official agency and institutional pages, app stores, research publications, project portfolios and industry sources. It separates operating systems, subsystems, legacy services, prototypes and proposed R&amp;D. One system may cover several functions: the primary category supports distinct system counts, while secondary categories and the Category Crosswalk capture overlap. Commodity/species, value-chain and technology tags are independent dimensions. 'Status unverified' means a credible source exists but current operation could not be independently confirmed. Source-code findings concern public availability—not hidden or privately held code.</x:v>
      </x:c>
    </x:row>
    <x:row r="9">
      <x:c r="A9" s="50" t="str">
        <x:v>Inventory snapshot</x:v>
      </x:c>
      <x:c r="B9" s="50" t="str">
        <x:v>Inventory snapshot</x:v>
      </x:c>
      <x:c r="C9" s="50" t="str">
        <x:v>Inventory snapshot</x:v>
      </x:c>
      <x:c r="D9" s="50" t="str">
        <x:v>Inventory snapshot</x:v>
      </x:c>
      <x:c r="E9" s="50" t="str">
        <x:v>Inventory snapshot</x:v>
      </x:c>
      <x:c r="F9" s="50" t="str">
        <x:v>Inventory snapshot</x:v>
      </x:c>
      <x:c r="G9" s="50" t="str">
        <x:v>Inventory snapshot</x:v>
      </x:c>
      <x:c r="H9" s="50" t="str">
        <x:v>Inventory snapshot</x:v>
      </x:c>
    </x:row>
    <x:row r="10" ht="46" customHeight="1">
      <x:c r="A10" s="18" t="str">
        <x:v>Systems / initiatives</x:v>
      </x:c>
      <x:c r="B10" s="18" t="str">
        <x:v>Active / operational</x:v>
      </x:c>
      <x:c r="C10" s="18" t="str">
        <x:v>Project / pilot / deployment</x:v>
      </x:c>
      <x:c r="D10" s="18" t="str">
        <x:v>Status unverified / legacy</x:v>
      </x:c>
      <x:c r="E10" s="18" t="str">
        <x:v>High SINAG priority</x:v>
      </x:c>
      <x:c r="F10" s="18" t="str">
        <x:v>High-confidence evidence</x:v>
      </x:c>
      <x:c r="G10" s="18" t="str">
        <x:v>Government-involved</x:v>
      </x:c>
      <x:c r="H10" s="18" t="str">
        <x:v>Private-involved</x:v>
      </x:c>
    </x:row>
    <x:row r="11" ht="30" customHeight="1">
      <x:c r="A11" s="65" t="n">
        <x:f>COUNTA('DATS 2.0 Inventory'!B5:B300)</x:f>
        <x:v>133</x:v>
      </x:c>
      <x:c r="B11" s="65" t="n">
        <x:f>COUNTIF('DATS 2.0 Inventory'!R5:R300,"Active / deployment")+COUNTIF('DATS 2.0 Inventory'!R5:R300,"Active / expanding")+COUNTIF('DATS 2.0 Inventory'!R5:R300,"Active / operational")+COUNTIF('DATS 2.0 Inventory'!R5:R300,"Active / operational R&amp;D platform")+COUNTIF('DATS 2.0 Inventory'!R5:R300,"Active / status partly verified")+COUNTIF('DATS 2.0 Inventory'!R5:R300,"Active / status to be reconfirmed")+COUNTIF('DATS 2.0 Inventory'!R5:R300,"Active / transition / operational")</x:f>
        <x:v>78</x:v>
      </x:c>
      <x:c r="C11" s="65" t="n">
        <x:f>COUNTIF('DATS 2.0 Inventory'!R5:R300,"Pilot / beta")+COUNTIF('DATS 2.0 Inventory'!R5:R300,"Pilot / emerging")+COUNTIF('DATS 2.0 Inventory'!R5:R300,"Pilot / partial deployment")+COUNTIF('DATS 2.0 Inventory'!R5:R300,"Pilot / prototype")+COUNTIF('DATS 2.0 Inventory'!R5:R300,"Pilot / technology transfer")+COUNTIF('DATS 2.0 Inventory'!R5:R300,"Project ongoing")+COUNTIF('DATS 2.0 Inventory'!R5:R300,"Project ongoing / planning")</x:f>
        <x:v>19</x:v>
      </x:c>
      <x:c r="D11" s="65" t="n">
        <x:f>COUNTIF('DATS 2.0 Inventory'!R5:R300,"Legacy / current status unverified")+COUNTIF('DATS 2.0 Inventory'!R5:R300,"Project completed / next phase unverified")+COUNTIF('DATS 2.0 Inventory'!R5:R300,"Status unverified")+COUNTIF('DATS 2.0 Inventory'!R5:R300,"Status unverified / live site inaccessible")</x:f>
        <x:v>34</x:v>
      </x:c>
      <x:c r="E11" s="65" t="n">
        <x:f>COUNTIF('DATS 2.0 Inventory'!X5:X300,"High")</x:f>
        <x:v>77</x:v>
      </x:c>
      <x:c r="F11" s="65" t="n">
        <x:f>COUNTIF('DATS 2.0 Inventory'!AC5:AC300,"High")</x:f>
        <x:v>84</x:v>
      </x:c>
      <x:c r="G11" s="65" t="n">
        <x:f>COUNTIF('DATS 2.0 Inventory'!E5:E300,"General platform / government program")+COUNTIF('DATS 2.0 Inventory'!E5:E300,"Government / cooperative sector")+COUNTIF('DATS 2.0 Inventory'!E5:E300,"Government R&amp;D program")+COUNTIF('DATS 2.0 Inventory'!E5:E300,"Government corporation")+COUNTIF('DATS 2.0 Inventory'!E5:E300,"Government partnership")+COUNTIF('DATS 2.0 Inventory'!E5:E300,"Government–international partnership")+COUNTIF('DATS 2.0 Inventory'!E5:E300,"Government–international research partnership")+COUNTIF('DATS 2.0 Inventory'!E5:E300,"Government–international–private partnership")+COUNTIF('DATS 2.0 Inventory'!E5:E300,"Government–private partnership")+COUNTIF('DATS 2.0 Inventory'!E5:E300,"Government–research partnership")+COUNTIF('DATS 2.0 Inventory'!E5:E300,"National / regional government")+COUNTIF('DATS 2.0 Inventory'!E5:E300,"National and local government")+COUNTIF('DATS 2.0 Inventory'!E5:E300,"National government")+COUNTIF('DATS 2.0 Inventory'!E5:E300,"National government / R&amp;D partnership")+COUNTIF('DATS 2.0 Inventory'!E5:E300,"National government / R&amp;D support")+COUNTIF('DATS 2.0 Inventory'!E5:E300,"National government / research")+COUNTIF('DATS 2.0 Inventory'!E5:E300,"National government R&amp;D and market-support partnership")+COUNTIF('DATS 2.0 Inventory'!E5:E300,"National government partnership")+COUNTIF('DATS 2.0 Inventory'!E5:E300,"National government training institution")+COUNTIF('DATS 2.0 Inventory'!E5:E300,"National research institute / government")+COUNTIF('DATS 2.0 Inventory'!E5:E300,"National research institute–government partnership")+COUNTIF('DATS 2.0 Inventory'!E5:E300,"National–regional government partnership")+COUNTIF('DATS 2.0 Inventory'!E5:E300,"Regional government")+COUNTIF('DATS 2.0 Inventory'!E5:E300,"Regional government / R&amp;D concept")+COUNTIF('DATS 2.0 Inventory'!E5:E300,"Regional government / national-scale ambition")+COUNTIF('DATS 2.0 Inventory'!E5:E300,"Regional government training institution")+COUNTIF('DATS 2.0 Inventory'!E5:E300,"SUC–government research partnership")+COUNTIF('DATS 2.0 Inventory'!E5:E300,"SUC–government–cooperative partnership")</x:f>
        <x:v>73</x:v>
      </x:c>
      <x:c r="H11" s="65" t="n">
        <x:f>COUNTIF('DATS 2.0 Inventory'!E5:E300,"Government corporation")+COUNTIF('DATS 2.0 Inventory'!E5:E300,"Government–international–private partnership")+COUNTIF('DATS 2.0 Inventory'!E5:E300,"Government–private partnership")+COUNTIF('DATS 2.0 Inventory'!E5:E300,"Private / foundation partnership")+COUNTIF('DATS 2.0 Inventory'!E5:E300,"Private / local platform")+COUNTIF('DATS 2.0 Inventory'!E5:E300,"Private / partnership")+COUNTIF('DATS 2.0 Inventory'!E5:E300,"Private / social enterprise")+COUNTIF('DATS 2.0 Inventory'!E5:E300,"Private / unknown")+COUNTIF('DATS 2.0 Inventory'!E5:E300,"Private agribusiness")+COUNTIF('DATS 2.0 Inventory'!E5:E300,"Private agribusiness platform")+COUNTIF('DATS 2.0 Inventory'!E5:E300,"Private company")+COUNTIF('DATS 2.0 Inventory'!E5:E300,"Private company / social enterprise")+COUNTIF('DATS 2.0 Inventory'!E5:E300,"Private social enterprise")+COUNTIF('DATS 2.0 Inventory'!E5:E300,"Private startup")+COUNTIF('DATS 2.0 Inventory'!E5:E300,"Private–nonprofit partnership")</x:f>
        <x:v>28</x:v>
      </x:c>
    </x:row>
    <x:row r="13">
      <x:c r="A13" s="50" t="str">
        <x:v>Systems by DATS 2.0 category</x:v>
      </x:c>
      <x:c r="B13" s="50" t="str">
        <x:v>Systems by DATS 2.0 category</x:v>
      </x:c>
      <x:c r="C13" s="50" t="str">
        <x:v>Systems by DATS 2.0 category</x:v>
      </x:c>
      <x:c r="D13" s="50" t="str">
        <x:v>Systems by DATS 2.0 category</x:v>
      </x:c>
      <x:c r="F13" s="50" t="str">
        <x:v>Initial implications for SINAG</x:v>
      </x:c>
      <x:c r="G13" s="50" t="str">
        <x:v>Initial implications for SINAG</x:v>
      </x:c>
      <x:c r="H13" s="50" t="str">
        <x:v>Initial implications for SINAG</x:v>
      </x:c>
    </x:row>
    <x:row r="14">
      <x:c r="A14" s="70" t="str">
        <x:v>Registry &amp; digital identity</x:v>
      </x:c>
      <x:c r="B14" s="30" t="n">
        <x:f>COUNTIF('DATS 2.0 Inventory'!J5:J300,A14)</x:f>
        <x:v>6</x:v>
      </x:c>
      <x:c r="F14" s="72" t="str">
        <x:v>Federate existing identities, authoritative layers, advisories, services and transactions rather than replacing them.</x:v>
      </x:c>
      <x:c r="G14" s="72"/>
      <x:c r="H14" s="72"/>
    </x:row>
    <x:row r="15">
      <x:c r="A15" s="70" t="str">
        <x:v>Advisory &amp; e-extension</x:v>
      </x:c>
      <x:c r="B15" s="30" t="n">
        <x:f>COUNTIF('DATS 2.0 Inventory'!J5:J300,A15)</x:f>
        <x:v>10</x:v>
      </x:c>
      <x:c r="F15" s="72" t="str">
        <x:v>Separate technical maturity from operating status, impact evidence, financing, maintenance and institutional ownership.</x:v>
      </x:c>
      <x:c r="G15" s="72"/>
      <x:c r="H15" s="72"/>
    </x:row>
    <x:row r="16">
      <x:c r="A16" s="70" t="str">
        <x:v>Farm management &amp; decision support</x:v>
      </x:c>
      <x:c r="B16" s="30" t="n">
        <x:f>COUNTIF('DATS 2.0 Inventory'!J5:J300,A16)</x:f>
        <x:v>16</x:v>
      </x:c>
      <x:c r="F16" s="72" t="str">
        <x:v>Prioritize RSBSA–FishR–FFEDIS–RSIS alignment, common geospatial standards and farmer-controlled consent.</x:v>
      </x:c>
      <x:c r="G16" s="72"/>
      <x:c r="H16" s="72"/>
    </x:row>
    <x:row r="17">
      <x:c r="A17" s="70" t="str">
        <x:v>Climate, weather &amp; early warning</x:v>
      </x:c>
      <x:c r="B17" s="30" t="n">
        <x:f>COUNTIF('DATS 2.0 Inventory'!J5:J300,A17)</x:f>
        <x:v>7</x:v>
      </x:c>
      <x:c r="F17" s="72" t="str">
        <x:v>Make evidence a platform function: reach → active use → adoption → outcome → equity → reliability → cost.</x:v>
      </x:c>
      <x:c r="G17" s="72"/>
      <x:c r="H17" s="72"/>
    </x:row>
    <x:row r="18">
      <x:c r="A18" s="70" t="str">
        <x:v>Precision agriculture, EO, drones &amp; IoT</x:v>
      </x:c>
      <x:c r="B18" s="30" t="n">
        <x:f>COUNTIF('DATS 2.0 Inventory'!J5:J300,A18)</x:f>
        <x:v>14</x:v>
      </x:c>
      <x:c r="F18" s="72" t="str">
        <x:v>Build offline-first workflows and human extension/provider escalation into the architecture.</x:v>
      </x:c>
      <x:c r="G18" s="72"/>
      <x:c r="H18" s="72"/>
    </x:row>
    <x:row r="19">
      <x:c r="A19" s="70" t="str">
        <x:v>Pest, disease &amp; biosecurity</x:v>
      </x:c>
      <x:c r="B19" s="30" t="n">
        <x:f>COUNTIF('DATS 2.0 Inventory'!J5:J300,A19)</x:f>
        <x:v>7</x:v>
      </x:c>
      <x:c r="F19" s="72" t="str">
        <x:v>Treat marketplaces as logistics and repeat-demand systems—not only digital storefronts.</x:v>
      </x:c>
      <x:c r="G19" s="72"/>
      <x:c r="H19" s="72"/>
    </x:row>
    <x:row r="20">
      <x:c r="A20" s="70" t="str">
        <x:v>Inputs, seed &amp; nutrient tools</x:v>
      </x:c>
      <x:c r="B20" s="30" t="n">
        <x:f>COUNTIF('DATS 2.0 Inventory'!J5:J300,A20)</x:f>
        <x:v>11</x:v>
      </x:c>
      <x:c r="F20" s="72" t="str">
        <x:v>No official public source repository was verified; require APIs, exports, licenses and exit plans before deep integration.</x:v>
      </x:c>
      <x:c r="G20" s="72"/>
      <x:c r="H20" s="72"/>
    </x:row>
    <x:row r="21">
      <x:c r="A21" s="70" t="str">
        <x:v>Mechanization &amp; equipment-as-a-service</x:v>
      </x:c>
      <x:c r="B21" s="30" t="n">
        <x:f>COUNTIF('DATS 2.0 Inventory'!J5:J300,A21)</x:f>
        <x:v>2</x:v>
      </x:c>
    </x:row>
    <x:row r="22">
      <x:c r="A22" s="70" t="str">
        <x:v>Markets, e-commerce &amp; logistics</x:v>
      </x:c>
      <x:c r="B22" s="30" t="n">
        <x:f>COUNTIF('DATS 2.0 Inventory'!J5:J300,A22)</x:f>
        <x:v>26</x:v>
      </x:c>
      <x:c r="F22" s="50" t="str">
        <x:v>How to use the workbook</x:v>
      </x:c>
      <x:c r="G22" s="50" t="str">
        <x:v>How to use the workbook</x:v>
      </x:c>
      <x:c r="H22" s="50" t="str">
        <x:v>How to use the workbook</x:v>
      </x:c>
    </x:row>
    <x:row r="23">
      <x:c r="A23" s="70" t="str">
        <x:v>Finance, insurance &amp; payments</x:v>
      </x:c>
      <x:c r="B23" s="30" t="n">
        <x:f>COUNTIF('DATS 2.0 Inventory'!J5:J300,A23)</x:f>
        <x:v>4</x:v>
      </x:c>
      <x:c r="F23"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G23"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H23"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row>
    <x:row r="24">
      <x:c r="A24" s="70" t="str">
        <x:v>Traceability, food safety &amp; MRV</x:v>
      </x:c>
      <x:c r="B24" s="30" t="n">
        <x:f>COUNTIF('DATS 2.0 Inventory'!J5:J300,A24)</x:f>
        <x:v>6</x:v>
      </x:c>
      <x:c r="F24"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G24"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H24"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row>
    <x:row r="25">
      <x:c r="A25" s="70" t="str">
        <x:v>Fisheries &amp; aquaculture</x:v>
      </x:c>
      <x:c r="B25" s="30" t="n">
        <x:f>COUNTIF('DATS 2.0 Inventory'!J5:J300,A25)</x:f>
        <x:v>6</x:v>
      </x:c>
      <x:c r="F25"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G25"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H25"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row>
    <x:row r="26">
      <x:c r="A26" s="70" t="str">
        <x:v>Data infrastructure, interoperability &amp; dashboards</x:v>
      </x:c>
      <x:c r="B26" s="30" t="n">
        <x:f>COUNTIF('DATS 2.0 Inventory'!J5:J300,A26)</x:f>
        <x:v>15</x:v>
      </x:c>
      <x:c r="F26"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G26"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H26"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row>
    <x:row r="27">
      <x:c r="A27" s="70" t="str">
        <x:v>Training, capacity &amp; innovation hubs</x:v>
      </x:c>
      <x:c r="B27" s="30" t="n">
        <x:f>COUNTIF('DATS 2.0 Inventory'!J5:J300,A27)</x:f>
        <x:v>3</x:v>
      </x:c>
      <x:c r="F27"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G27"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c r="H27" s="57" t="str">
        <x:v>Use the Inventory filters to locate systems; Scaling Scan to compare readiness and evidence gaps; Source Code &amp; Interop to determine public repository, API, export and standards evidence; Research Prototypes to discover non-operational R&amp;D; and the SINAG Integration Map to choose catalog, referral, data-feed, API or sandbox treatment.</x:v>
      </x:c>
    </x:row>
    <x:row r="51">
      <x:c r="A51" s="50" t="str">
        <x:v>Technical openness and R&amp;D snapshot</x:v>
      </x:c>
      <x:c r="B51" s="50" t="str">
        <x:v>Technical openness and R&amp;D snapshot</x:v>
      </x:c>
      <x:c r="C51" s="50" t="str">
        <x:v>Technical openness and R&amp;D snapshot</x:v>
      </x:c>
      <x:c r="D51" s="50" t="str">
        <x:v>Technical openness and R&amp;D snapshot</x:v>
      </x:c>
      <x:c r="E51" s="50" t="str">
        <x:v>Technical openness and R&amp;D snapshot</x:v>
      </x:c>
      <x:c r="F51" s="50" t="str">
        <x:v>Technical openness and R&amp;D snapshot</x:v>
      </x:c>
      <x:c r="G51" s="50" t="str">
        <x:v>Technical openness and R&amp;D snapshot</x:v>
      </x:c>
      <x:c r="H51" s="50" t="str">
        <x:v>Technical openness and R&amp;D snapshot</x:v>
      </x:c>
    </x:row>
    <x:row r="52" ht="42" customHeight="1">
      <x:c r="A52" s="18" t="str">
        <x:v>Main systems</x:v>
      </x:c>
      <x:c r="B52" s="18" t="str">
        <x:v>Research prototypes</x:v>
      </x:c>
      <x:c r="C52" s="18" t="str">
        <x:v>Official public repos verified</x:v>
      </x:c>
      <x:c r="D52" s="18" t="str">
        <x:v>Interop score 2+</x:v>
      </x:c>
      <x:c r="E52" s="18" t="str">
        <x:v>Interop score 3+</x:v>
      </x:c>
      <x:c r="F52" s="18" t="str">
        <x:v>No public API docs located</x:v>
      </x:c>
      <x:c r="G52" s="18" t="str">
        <x:v>Planned/concept only</x:v>
      </x:c>
      <x:c r="H52" s="18" t="str">
        <x:v>Source audit coverage</x:v>
      </x:c>
    </x:row>
    <x:row r="53" ht="28" customHeight="1">
      <x:c r="A53" s="76" t="n">
        <x:f>COUNTA('DATS 2.0 Inventory'!B5:B300)</x:f>
        <x:v>133</x:v>
      </x:c>
      <x:c r="B53" s="76" t="n">
        <x:f>COUNTA('Research Prototypes'!C5:C300)</x:f>
        <x:v>25</x:v>
      </x:c>
      <x:c r="C53" s="76" t="n">
        <x:f>COUNTIF('Source Code &amp; Interop'!F5:F300,"Yes")</x:f>
        <x:v>0</x:v>
      </x:c>
      <x:c r="D53" s="76" t="n">
        <x:f>COUNTIF('Source Code &amp; Interop'!O5:O300,"&gt;=2")</x:f>
        <x:v>22</x:v>
      </x:c>
      <x:c r="E53" s="76" t="n">
        <x:f>COUNTIF('Source Code &amp; Interop'!O5:O300,"&gt;=3")</x:f>
        <x:v>2</x:v>
      </x:c>
      <x:c r="F53" s="76" t="n">
        <x:f>COUNTIF('Source Code &amp; Interop'!I5:I300,"No public API documentation located")</x:f>
        <x:v>120</x:v>
      </x:c>
      <x:c r="G53" s="76" t="n">
        <x:f>COUNTIF('Source Code &amp; Interop'!O5:O300,0)</x:f>
        <x:v>2</x:v>
      </x:c>
      <x:c r="H53" s="76" t="n">
        <x:f>COUNTA('Source Code &amp; Interop'!B5:B300)</x:f>
        <x:v>133</x:v>
      </x:c>
    </x:row>
    <x:row r="55">
      <x:c r="A55" s="95" t="str">
        <x:v>Multi-label and livestock/poultry coverage</x:v>
      </x:c>
      <x:c r="B55" s="95" t="str">
        <x:v>Multi-label and livestock/poultry coverage</x:v>
      </x:c>
      <x:c r="C55" s="95" t="str">
        <x:v>Multi-label and livestock/poultry coverage</x:v>
      </x:c>
      <x:c r="D55" s="95" t="str">
        <x:v>Multi-label and livestock/poultry coverage</x:v>
      </x:c>
      <x:c r="E55" s="95" t="str">
        <x:v>Multi-label and livestock/poultry coverage</x:v>
      </x:c>
      <x:c r="F55" s="95" t="str">
        <x:v>Multi-label and livestock/poultry coverage</x:v>
      </x:c>
      <x:c r="G55" s="95" t="str">
        <x:v>Multi-label and livestock/poultry coverage</x:v>
      </x:c>
      <x:c r="H55" s="95" t="str">
        <x:v>Multi-label and livestock/poultry coverage</x:v>
      </x:c>
    </x:row>
    <x:row r="56" ht="46" customHeight="1">
      <x:c r="A56" s="82" t="str">
        <x:v>Systems with 2+ categories</x:v>
      </x:c>
      <x:c r="B56" s="82" t="str">
        <x:v>Average categories/system</x:v>
      </x:c>
      <x:c r="C56" s="82" t="str">
        <x:v>Maximum categories/system</x:v>
      </x:c>
      <x:c r="D56" s="82" t="str">
        <x:v>Dedicated swine systems</x:v>
      </x:c>
      <x:c r="E56" s="82" t="str">
        <x:v>Dedicated poultry systems</x:v>
      </x:c>
      <x:c r="F56" s="82" t="str">
        <x:v>Livestock regulatory systems</x:v>
      </x:c>
      <x:c r="G56" s="82" t="str">
        <x:v>Livestock/poultry prototypes</x:v>
      </x:c>
      <x:c r="H56" s="82" t="str">
        <x:v>System-category links</x:v>
      </x:c>
    </x:row>
    <x:row r="57" ht="30" customHeight="1">
      <x:c r="A57" s="101" t="n">
        <x:f>COUNTIF('DATS 2.0 Inventory'!AJ5:AJ300,"&gt;=2")</x:f>
        <x:v>93</x:v>
      </x:c>
      <x:c r="B57" s="100" t="n">
        <x:f>AVERAGE('DATS 2.0 Inventory'!AJ5:AJ300)</x:f>
        <x:v>2.225563909774436</x:v>
      </x:c>
      <x:c r="C57" s="101" t="n">
        <x:f>MAX('DATS 2.0 Inventory'!AJ5:AJ300)</x:f>
        <x:v>11</x:v>
      </x:c>
      <x:c r="D57" s="101" t="n">
        <x:f>COUNTIF('DATS 2.0 Inventory'!AK5:AK300,"Dedicated — swine/native pig")</x:f>
        <x:v>2</x:v>
      </x:c>
      <x:c r="E57" s="101" t="n">
        <x:f>COUNTIF('DATS 2.0 Inventory'!AK5:AK300,"Dedicated — poultry/chicken/duck")</x:f>
        <x:v>3</x:v>
      </x:c>
      <x:c r="F57" s="101" t="n">
        <x:f>COUNTIF('DATS 2.0 Inventory'!AK5:AK300,"Livestock regulatory / animal-health")</x:f>
        <x:v>3</x:v>
      </x:c>
      <x:c r="G57" s="101" t="n">
        <x:f>COUNTIF('Research Prototypes'!T5:T300,"Dedicated — swine/native pig")+COUNTIF('Research Prototypes'!T5:T300,"Dedicated — poultry/chicken/duck")+COUNTIF('Research Prototypes'!T5:T300,"Dedicated — mixed livestock/poultry")+COUNTIF('Research Prototypes'!T5:T300,"Livestock — general")+COUNTIF('Research Prototypes'!T5:T300,"Livestock regulatory / animal-health")</x:f>
        <x:v>5</x:v>
      </x:c>
      <x:c r="H57" s="101" t="n">
        <x:f>COUNTA('Category Crosswalk'!D5:D800)</x:f>
        <x:v>296</x:v>
      </x:c>
    </x:row>
  </x:sheetData>
  <x:mergeCells>
    <x:mergeCell ref="A1:H1"/>
    <x:mergeCell ref="A2:H2"/>
    <x:mergeCell ref="A4:H4"/>
    <x:mergeCell ref="A5:H7"/>
    <x:mergeCell ref="A9:H9"/>
    <x:mergeCell ref="A13:D13"/>
    <x:mergeCell ref="F13:H13"/>
    <x:mergeCell ref="F22:H22"/>
    <x:mergeCell ref="F23:H27"/>
    <x:mergeCell ref="A51:H51"/>
    <x:mergeCell ref="A55:H55"/>
  </x:mergeCells>
  <x:conditionalFormatting sqref="B14:B27">
    <x:cfRule type="dataBar" priority="1">
      <x:dataBar>
        <x:cfvo type="min"/>
        <x:cfvo type="max"/>
        <x:color rgb="FF2E8B78"/>
      </x:dataBar>
      <x:extLst>
        <x:ext xmlns:x14="http://schemas.microsoft.com/office/spreadsheetml/2009/9/main" uri="{B025F937-C7B1-47D3-B67F-A62EFF666E3E}">
          <x14:id>{E5D2A047-4238-8741-E2B3-85669B88D1C8}</x14:id>
        </x:ext>
      </x:extLst>
    </x:cfRule>
  </x:conditionalFormatting>
  <x:pageMargins left="0.7" right="0.7" top="0.75" bottom="0.75" header="0.3" footer="0.3"/>
  <x:drawing xmlns:r="http://schemas.openxmlformats.org/officeDocument/2006/relationships" r:id="R4215c63bd21140ee"/>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2E8B78"/>
            </x14:dataBar>
          </x14:cfRule>
          <xm:sqref>B14:B27</xm:sqref>
        </x14:conditionalFormatting>
      </x14:conditionalFormattings>
    </x:ext>
  </x:extLst>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16" hidden="0" customWidth="1"/>
    <x:col min="4" max="4" width="28" hidden="0" customWidth="1"/>
    <x:col min="5" max="5" width="22" hidden="0" customWidth="1"/>
    <x:col min="6" max="6" width="22" hidden="0" customWidth="1"/>
    <x:col min="7" max="7" width="20" hidden="0" customWidth="1"/>
    <x:col min="8" max="8" width="22" hidden="0" customWidth="1"/>
    <x:col min="9" max="9" width="20" hidden="0" customWidth="1"/>
    <x:col min="10" max="10" width="28" hidden="0" customWidth="1"/>
    <x:col min="11" max="11" width="36" hidden="0" customWidth="1"/>
    <x:col min="12" max="12" width="29" hidden="0" customWidth="1"/>
    <x:col min="13" max="13" width="27" hidden="0" customWidth="1"/>
    <x:col min="14" max="14" width="11" hidden="0" customWidth="1"/>
    <x:col min="15" max="15" width="11" hidden="0" customWidth="1"/>
    <x:col min="16" max="16" width="11" hidden="0" customWidth="1"/>
    <x:col min="17" max="17" width="22" hidden="0" customWidth="1"/>
    <x:col min="18" max="18" width="25" hidden="0" customWidth="1"/>
    <x:col min="19" max="19" width="34" hidden="0" customWidth="1"/>
    <x:col min="20" max="20" width="31" hidden="0" customWidth="1"/>
    <x:col min="21" max="21" width="37" hidden="0" customWidth="1"/>
    <x:col min="22" max="22" width="40" hidden="0" customWidth="1"/>
    <x:col min="23" max="23" width="30" hidden="0" customWidth="1"/>
    <x:col min="24" max="24" width="12" hidden="0" customWidth="1"/>
    <x:col min="25" max="25" width="42" hidden="0" customWidth="1"/>
    <x:col min="26" max="26" width="44" hidden="0" customWidth="1"/>
    <x:col min="27" max="27" width="44" hidden="0" customWidth="1"/>
    <x:col min="28" max="28" width="13" hidden="0" customWidth="1"/>
    <x:col min="29" max="29" width="14" hidden="0" customWidth="1"/>
    <x:col min="30" max="30" width="43" hidden="0" customWidth="1"/>
    <x:col min="31" max="31" width="42" hidden="0" customWidth="1"/>
    <x:col min="32" max="32" width="55" hidden="0" customWidth="1"/>
    <x:col min="33" max="33" width="34" hidden="0" customWidth="1"/>
    <x:col min="34" max="34" width="44" hidden="0" customWidth="1"/>
    <x:col min="35" max="35" width="40" hidden="0" customWidth="1"/>
    <x:col min="36" max="36" width="15" hidden="0" customWidth="1"/>
    <x:col min="37" max="37" width="30" hidden="0" customWidth="1"/>
  </x:cols>
  <x:sheetData>
    <x:row r="1" ht="36" customHeight="1">
      <x:c r="A1" s="85" t="str">
        <x:v>DATS 2.0 Inventory — Philippines</x:v>
      </x:c>
      <x:c r="B1" s="85" t="str">
        <x:v>DATS 2.0 Inventory — Philippines</x:v>
      </x:c>
      <x:c r="C1" s="85" t="str">
        <x:v>DATS 2.0 Inventory — Philippines</x:v>
      </x:c>
      <x:c r="D1" s="85" t="str">
        <x:v>DATS 2.0 Inventory — Philippines</x:v>
      </x:c>
      <x:c r="E1" s="85" t="str">
        <x:v>DATS 2.0 Inventory — Philippines</x:v>
      </x:c>
      <x:c r="F1" s="85" t="str">
        <x:v>DATS 2.0 Inventory — Philippines</x:v>
      </x:c>
      <x:c r="G1" s="85" t="str">
        <x:v>DATS 2.0 Inventory — Philippines</x:v>
      </x:c>
      <x:c r="H1" s="85" t="str">
        <x:v>DATS 2.0 Inventory — Philippines</x:v>
      </x:c>
      <x:c r="I1" s="85" t="str">
        <x:v>DATS 2.0 Inventory — Philippines</x:v>
      </x:c>
      <x:c r="J1" s="85" t="str">
        <x:v>DATS 2.0 Inventory — Philippines</x:v>
      </x:c>
      <x:c r="K1" s="85" t="str">
        <x:v>DATS 2.0 Inventory — Philippines</x:v>
      </x:c>
      <x:c r="L1" s="85" t="str">
        <x:v>DATS 2.0 Inventory — Philippines</x:v>
      </x:c>
      <x:c r="M1" s="85" t="str">
        <x:v>DATS 2.0 Inventory — Philippines</x:v>
      </x:c>
      <x:c r="N1" s="85" t="str">
        <x:v>DATS 2.0 Inventory — Philippines</x:v>
      </x:c>
      <x:c r="O1" s="85" t="str">
        <x:v>DATS 2.0 Inventory — Philippines</x:v>
      </x:c>
      <x:c r="P1" s="85" t="str">
        <x:v>DATS 2.0 Inventory — Philippines</x:v>
      </x:c>
      <x:c r="Q1" s="85" t="str">
        <x:v>DATS 2.0 Inventory — Philippines</x:v>
      </x:c>
      <x:c r="R1" s="85" t="str">
        <x:v>DATS 2.0 Inventory — Philippines</x:v>
      </x:c>
      <x:c r="S1" s="85" t="str">
        <x:v>DATS 2.0 Inventory — Philippines</x:v>
      </x:c>
      <x:c r="T1" s="85" t="str">
        <x:v>DATS 2.0 Inventory — Philippines</x:v>
      </x:c>
      <x:c r="U1" s="85" t="str">
        <x:v>DATS 2.0 Inventory — Philippines</x:v>
      </x:c>
      <x:c r="V1" s="85" t="str">
        <x:v>DATS 2.0 Inventory — Philippines</x:v>
      </x:c>
      <x:c r="W1" s="85" t="str">
        <x:v>DATS 2.0 Inventory — Philippines</x:v>
      </x:c>
      <x:c r="X1" s="85" t="str">
        <x:v>DATS 2.0 Inventory — Philippines</x:v>
      </x:c>
      <x:c r="Y1" s="85" t="str">
        <x:v>DATS 2.0 Inventory — Philippines</x:v>
      </x:c>
      <x:c r="Z1" s="85" t="str">
        <x:v>DATS 2.0 Inventory — Philippines</x:v>
      </x:c>
      <x:c r="AA1" s="85" t="str">
        <x:v>DATS 2.0 Inventory — Philippines</x:v>
      </x:c>
      <x:c r="AB1" s="85" t="str">
        <x:v>DATS 2.0 Inventory — Philippines</x:v>
      </x:c>
      <x:c r="AC1" s="85" t="str">
        <x:v>DATS 2.0 Inventory — Philippines</x:v>
      </x:c>
      <x:c r="AD1" s="85" t="str">
        <x:v>DATS 2.0 Inventory — Philippines</x:v>
      </x:c>
      <x:c r="AE1" s="85" t="str">
        <x:v>DATS 2.0 Inventory — Philippines</x:v>
      </x:c>
      <x:c r="AF1" s="85" t="str">
        <x:v>DATS 2.0 Inventory — Philippines</x:v>
      </x:c>
      <x:c r="AG1" s="85" t="str">
        <x:v>DATS 2.0 Inventory — Philippines</x:v>
      </x:c>
      <x:c r="AH1" s="85" t="str">
        <x:v>DATS 2.0 Inventory — Philippines</x:v>
      </x:c>
      <x:c r="AI1" s="85" t="str">
        <x:v>DATS 2.0 Inventory — Philippines</x:v>
      </x:c>
      <x:c r="AJ1" s="85" t="str">
        <x:v>DATS 2.0 Inventory — Philippines</x:v>
      </x:c>
      <x:c r="AK1" s="85" t="str">
        <x:v>DATS 2.0 Inventory — Philippines</x:v>
      </x:c>
    </x:row>
    <x:row r="2" ht="34" customHeight="1">
      <x:c r="A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B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C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D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E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F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G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H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I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J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K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L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M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N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O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P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Q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R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S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T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U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V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W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X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Y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Z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A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B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C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D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E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F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G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H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I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J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c r="AK2" s="88" t="str">
        <x:v>Master database: 133 main systems and initiatives. Primary category supports non-duplicated dashboard counts; Secondary and All Functional Category Tags allow systems such as DigiSaka to span registry, advisory, precision agriculture, market, finance, traceability and data-infrastructure functions. Filter Commodity / Species Tags and Livestock / Poultry Coverage for dedicated animal-sector systems.</x:v>
      </x:c>
    </x:row>
    <x:row r="4">
      <x:c r="A4" s="18" t="str">
        <x:v>DATS2_ID</x:v>
      </x:c>
      <x:c r="B4" s="18" t="str">
        <x:v>System / Tool</x:v>
      </x:c>
      <x:c r="C4" s="18" t="str">
        <x:v>Acronym</x:v>
      </x:c>
      <x:c r="D4" s="18" t="str">
        <x:v>Developer / Owner</x:v>
      </x:c>
      <x:c r="E4" s="18" t="str">
        <x:v>Owner Type</x:v>
      </x:c>
      <x:c r="F4" s="18" t="str">
        <x:v>Sector / Commodity</x:v>
      </x:c>
      <x:c r="G4" s="18" t="str">
        <x:v>Geographic Scope</x:v>
      </x:c>
      <x:c r="H4" s="18" t="str">
        <x:v>Value-chain Stage</x:v>
      </x:c>
      <x:c r="I4" s="18" t="str">
        <x:v>Original DATS/PIDS Bucket</x:v>
      </x:c>
      <x:c r="J4" s="18" t="str">
        <x:v>DATS 2.0 Category</x:v>
      </x:c>
      <x:c r="K4" s="18" t="str">
        <x:v>Core Function</x:v>
      </x:c>
      <x:c r="L4" s="18" t="str">
        <x:v>Technology / Channel</x:v>
      </x:c>
      <x:c r="M4" s="18" t="str">
        <x:v>Primary Users</x:v>
      </x:c>
      <x:c r="N4" s="18" t="str">
        <x:v>CSA: Productivity</x:v>
      </x:c>
      <x:c r="O4" s="18" t="str">
        <x:v>CSA: Adaptation</x:v>
      </x:c>
      <x:c r="P4" s="18" t="str">
        <x:v>CSA: Mitigation</x:v>
      </x:c>
      <x:c r="Q4" s="18" t="str">
        <x:v>Maturity</x:v>
      </x:c>
      <x:c r="R4" s="18" t="str">
        <x:v>Operating Status</x:v>
      </x:c>
      <x:c r="S4" s="18" t="str">
        <x:v>Evidence of Scale / Reach</x:v>
      </x:c>
      <x:c r="T4" s="18" t="str">
        <x:v>Main Scaling Strength</x:v>
      </x:c>
      <x:c r="U4" s="18" t="str">
        <x:v>Primary Bottleneck</x:v>
      </x:c>
      <x:c r="V4" s="18" t="str">
        <x:v>Interoperability / Data Governance</x:v>
      </x:c>
      <x:c r="W4" s="18" t="str">
        <x:v>Potential SINAG Role</x:v>
      </x:c>
      <x:c r="X4" s="18" t="str">
        <x:v>SINAG Priority</x:v>
      </x:c>
      <x:c r="Y4" s="18" t="str">
        <x:v>Recommended SINAG Action</x:v>
      </x:c>
      <x:c r="Z4" s="18" t="str">
        <x:v>Source URL 1</x:v>
      </x:c>
      <x:c r="AA4" s="18" t="str">
        <x:v>Source URL 2</x:v>
      </x:c>
      <x:c r="AB4" s="18" t="str">
        <x:v>Last Verified</x:v>
      </x:c>
      <x:c r="AC4" s="18" t="str">
        <x:v>Evidence Confidence</x:v>
      </x:c>
      <x:c r="AD4" s="18" t="str">
        <x:v>Notes</x:v>
      </x:c>
      <x:c r="AE4" s="82" t="str">
        <x:v>Secondary DATS 2.0 Categories</x:v>
      </x:c>
      <x:c r="AF4" s="82" t="str">
        <x:v>All Functional Category Tags</x:v>
      </x:c>
      <x:c r="AG4" s="82" t="str">
        <x:v>Commodity / Species Tags</x:v>
      </x:c>
      <x:c r="AH4" s="82" t="str">
        <x:v>Value-chain Tags</x:v>
      </x:c>
      <x:c r="AI4" s="82" t="str">
        <x:v>Technology Tags</x:v>
      </x:c>
      <x:c r="AJ4" s="82" t="str">
        <x:v>Functional Category Count</x:v>
      </x:c>
      <x:c r="AK4" s="82" t="str">
        <x:v>Livestock / Poultry Coverage</x:v>
      </x:c>
    </x:row>
    <x:row r="5" ht="56" customHeight="1">
      <x:c r="A5" s="26" t="str">
        <x:v>D2-001</x:v>
      </x:c>
      <x:c r="B5" s="26" t="str">
        <x:v>Digital Agriculture Tools and Services in the Philippines</x:v>
      </x:c>
      <x:c r="C5" s="26" t="str">
        <x:v>D4AgPH / DATS</x:v>
      </x:c>
      <x:c r="D5" s="26" t="str">
        <x:v>DA-BAR, IRRI and DA-RID</x:v>
      </x:c>
      <x:c r="E5" s="26" t="str">
        <x:v>Government–international partnership</x:v>
      </x:c>
      <x:c r="F5" s="26" t="str">
        <x:v>Cross-sector</x:v>
      </x:c>
      <x:c r="G5" s="26" t="str">
        <x:v>National</x:v>
      </x:c>
      <x:c r="H5" s="26" t="str">
        <x:v>Cross-cutting</x:v>
      </x:c>
      <x:c r="I5" s="26" t="str">
        <x:v>Cross-cutting / enabling</x:v>
      </x:c>
      <x:c r="J5" s="26" t="str">
        <x:v>Data infrastructure, interoperability &amp; dashboards</x:v>
      </x:c>
      <x:c r="K5" s="26" t="str">
        <x:v>Searchable database and analytics of Philippine digital agriculture tools</x:v>
      </x:c>
      <x:c r="L5" s="26" t="str">
        <x:v>Web database and analytics</x:v>
      </x:c>
      <x:c r="M5" s="26" t="str">
        <x:v>Policy makers, developers, extension workers, farmers</x:v>
      </x:c>
      <x:c r="N5" s="30" t="str">
        <x:v>Indirect</x:v>
      </x:c>
      <x:c r="O5" s="30" t="str">
        <x:v>Indirect</x:v>
      </x:c>
      <x:c r="P5" s="30" t="str">
        <x:v>Indirect</x:v>
      </x:c>
      <x:c r="Q5" s="26" t="str">
        <x:v>Expansion-ready at 2024 launch</x:v>
      </x:c>
      <x:c r="R5" s="26" t="str">
        <x:v>Status unverified / live site inaccessible</x:v>
      </x:c>
      <x:c r="S5" s="26" t="str">
        <x:v>67 tools reported at May 2024 launch</x:v>
      </x:c>
      <x:c r="T5" s="26" t="str">
        <x:v>National convening function and shared inventory</x:v>
      </x:c>
      <x:c r="U5" s="26" t="str">
        <x:v>Continuity, database maintenance and current-status verification</x:v>
      </x:c>
      <x:c r="V5" s="26" t="str">
        <x:v>Designed as a repository; API and long-term governance not publicly confirmed</x:v>
      </x:c>
      <x:c r="W5" s="26" t="str">
        <x:v>Catalog and metadata backbone</x:v>
      </x:c>
      <x:c r="X5" s="30" t="str">
        <x:v>High</x:v>
      </x:c>
      <x:c r="Y5" s="26" t="str">
        <x:v>Restore or mirror the database; assign persistent IDs, update cycles, APIs and archival rules</x:v>
      </x:c>
      <x:c r="Z5" s="32" t="str">
        <x:v>https://www.irri.org/news-and-events/news/da-bar-and-irri-launch-online-platform-ph-digital-ag-tools</x:v>
      </x:c>
      <x:c r="AA5" s="32" t="str">
        <x:v>https://dvi-ke.fao.org/digital_initiatives_details.php?id=96</x:v>
      </x:c>
      <x:c r="AB5" s="30" t="str">
        <x:v>2026-07-11</x:v>
      </x:c>
      <x:c r="AC5" s="30" t="str">
        <x:v>High</x:v>
      </x:c>
      <x:c r="AD5" s="26" t="str">
        <x:v>DATS 2.0 is an independent reconstruction and extension, not an official database export.</x:v>
      </x:c>
      <x:c r="AE5" s="26" t="str"/>
      <x:c r="AF5" s="26" t="str">
        <x:v>Data infrastructure, interoperability &amp; dashboards</x:v>
      </x:c>
      <x:c r="AG5" s="26" t="str">
        <x:v>Cross-sector</x:v>
      </x:c>
      <x:c r="AH5" s="26" t="str">
        <x:v>Cross-cutting</x:v>
      </x:c>
      <x:c r="AI5" s="26" t="str">
        <x:v>Web / portal; Database / MIS; Dashboard / analytics</x:v>
      </x:c>
      <x:c r="AJ5" s="30" t="n">
        <x:f>IF(AF5="","",LEN(AF5)-LEN(SUBSTITUTE(AF5,";",""))+1)</x:f>
        <x:v>1</x:v>
      </x:c>
      <x:c r="AK5" s="26" t="str">
        <x:v>Not dedicated</x:v>
      </x:c>
    </x:row>
    <x:row r="6" ht="56" customHeight="1">
      <x:c r="A6" s="26" t="str">
        <x:v>D2-002</x:v>
      </x:c>
      <x:c r="B6" s="26" t="str">
        <x:v>Registry System for Basic Sectors in Agriculture / National Farmers and Fisherfolk Registry System</x:v>
      </x:c>
      <x:c r="C6" s="26" t="str">
        <x:v>RSBSA / NFFRS</x:v>
      </x:c>
      <x:c r="D6" s="26" t="str">
        <x:v>Department of Agriculture</x:v>
      </x:c>
      <x:c r="E6" s="26" t="str">
        <x:v>National government</x:v>
      </x:c>
      <x:c r="F6" s="26" t="str">
        <x:v>Cross-sector</x:v>
      </x:c>
      <x:c r="G6" s="26" t="str">
        <x:v>National</x:v>
      </x:c>
      <x:c r="H6" s="26" t="str">
        <x:v>Registration and public service</x:v>
      </x:c>
      <x:c r="I6" s="26" t="str">
        <x:v>Decision support / public service</x:v>
      </x:c>
      <x:c r="J6" s="26" t="str">
        <x:v>Registry &amp; digital identity</x:v>
      </x:c>
      <x:c r="K6" s="26" t="str">
        <x:v>National beneficiary registry for program eligibility and targeting</x:v>
      </x:c>
      <x:c r="L6" s="26" t="str">
        <x:v>Government database</x:v>
      </x:c>
      <x:c r="M6" s="26" t="str">
        <x:v>Farmers, fisherfolk, DA agencies, LGUs</x:v>
      </x:c>
      <x:c r="N6" s="30" t="str">
        <x:v>Indirect</x:v>
      </x:c>
      <x:c r="O6" s="30" t="str">
        <x:v>Indirect</x:v>
      </x:c>
      <x:c r="P6" s="30" t="str">
        <x:v>No</x:v>
      </x:c>
      <x:c r="Q6" s="26" t="str">
        <x:v>Institutionalized</x:v>
      </x:c>
      <x:c r="R6" s="26" t="str">
        <x:v>Active / operational</x:v>
      </x:c>
      <x:c r="S6" s="26" t="str">
        <x:v>Core national registry used by DA programs</x:v>
      </x:c>
      <x:c r="T6" s="26" t="str">
        <x:v>Legal and administrative mandate</x:v>
      </x:c>
      <x:c r="U6" s="26" t="str">
        <x:v>Updating, duplicate records, consent, correction and cross-system matching</x:v>
      </x:c>
      <x:c r="V6" s="26" t="str">
        <x:v>High-value identity source; access and privacy controls are essential</x:v>
      </x:c>
      <x:c r="W6" s="26" t="str">
        <x:v>Federated identity and eligibility source</x:v>
      </x:c>
      <x:c r="X6" s="30" t="str">
        <x:v>High</x:v>
      </x:c>
      <x:c r="Y6" s="26" t="str">
        <x:v>Use consented reference IDs and status checks; do not duplicate the master registry</x:v>
      </x:c>
      <x:c r="Z6" s="32" t="str">
        <x:v>https://finder-rsbsa.da.gov.ph/</x:v>
      </x:c>
      <x:c r="AA6" s="32" t="str">
        <x:v>https://pcaf.da.gov.ph/index.php/2020/06/01/da-lays-foundation-to-digitize-agri-fishery-repost/</x:v>
      </x:c>
      <x:c r="AB6" s="30" t="str">
        <x:v>2026-07-11</x:v>
      </x:c>
      <x:c r="AC6" s="30" t="str">
        <x:v>High</x:v>
      </x:c>
      <x:c r="AD6" s="26"/>
      <x:c r="AE6" s="26" t="str">
        <x:v>Fisheries &amp; aquaculture; Data infrastructure, interoperability &amp; dashboards</x:v>
      </x:c>
      <x:c r="AF6" s="26" t="str">
        <x:v>Registry &amp; digital identity; Fisheries &amp; aquaculture; Data infrastructure, interoperability &amp; dashboards</x:v>
      </x:c>
      <x:c r="AG6" s="26" t="str">
        <x:v>Cross-sector; Fisheries &amp; aquaculture</x:v>
      </x:c>
      <x:c r="AH6" s="26" t="str">
        <x:v>Registration &amp; identity</x:v>
      </x:c>
      <x:c r="AI6" s="26" t="str">
        <x:v>Database / MIS</x:v>
      </x:c>
      <x:c r="AJ6" s="30" t="n">
        <x:f>IF(AF6="","",LEN(AF6)-LEN(SUBSTITUTE(AF6,";",""))+1)</x:f>
        <x:v>3</x:v>
      </x:c>
      <x:c r="AK6" s="26" t="str">
        <x:v>Not dedicated</x:v>
      </x:c>
    </x:row>
    <x:row r="7" ht="56" customHeight="1">
      <x:c r="A7" s="26" t="str">
        <x:v>D2-003</x:v>
      </x:c>
      <x:c r="B7" s="26" t="str">
        <x:v>RSBSA Finder</x:v>
      </x:c>
      <x:c r="C7" s="26" t="str">
        <x:v>RSBSA Finder</x:v>
      </x:c>
      <x:c r="D7" s="26" t="str">
        <x:v>Department of Agriculture</x:v>
      </x:c>
      <x:c r="E7" s="26" t="str">
        <x:v>National government</x:v>
      </x:c>
      <x:c r="F7" s="26" t="str">
        <x:v>Cross-sector</x:v>
      </x:c>
      <x:c r="G7" s="26" t="str">
        <x:v>National</x:v>
      </x:c>
      <x:c r="H7" s="26" t="str">
        <x:v>Public service</x:v>
      </x:c>
      <x:c r="I7" s="26" t="str">
        <x:v>Decision support / public service</x:v>
      </x:c>
      <x:c r="J7" s="26" t="str">
        <x:v>Registry &amp; digital identity</x:v>
      </x:c>
      <x:c r="K7" s="26" t="str">
        <x:v>Allows individuals to verify whether they appear in the registry</x:v>
      </x:c>
      <x:c r="L7" s="26" t="str">
        <x:v>Public web lookup</x:v>
      </x:c>
      <x:c r="M7" s="26" t="str">
        <x:v>Farmers and fisherfolk</x:v>
      </x:c>
      <x:c r="N7" s="30" t="str">
        <x:v>Indirect</x:v>
      </x:c>
      <x:c r="O7" s="30" t="str">
        <x:v>Indirect</x:v>
      </x:c>
      <x:c r="P7" s="30" t="str">
        <x:v>No</x:v>
      </x:c>
      <x:c r="Q7" s="26" t="str">
        <x:v>Operational</x:v>
      </x:c>
      <x:c r="R7" s="26" t="str">
        <x:v>Active / operational</x:v>
      </x:c>
      <x:c r="S7" s="26" t="str">
        <x:v>Publicly accessible national lookup</x:v>
      </x:c>
      <x:c r="T7" s="26" t="str">
        <x:v>Simple citizen-facing verification</x:v>
      </x:c>
      <x:c r="U7" s="26" t="str">
        <x:v>Identity matching errors and limited self-service correction</x:v>
      </x:c>
      <x:c r="V7" s="26" t="str">
        <x:v>Personal identifiers require secure handling</x:v>
      </x:c>
      <x:c r="W7" s="26" t="str">
        <x:v>Identity verification and referral</x:v>
      </x:c>
      <x:c r="X7" s="30" t="str">
        <x:v>High</x:v>
      </x:c>
      <x:c r="Y7" s="26" t="str">
        <x:v>Link to the finder and add a secure correction/referral workflow</x:v>
      </x:c>
      <x:c r="Z7" s="32" t="str">
        <x:v>https://finder-rsbsa.da.gov.ph/</x:v>
      </x:c>
      <x:c r="AA7" s="32"/>
      <x:c r="AB7" s="30" t="str">
        <x:v>2026-07-11</x:v>
      </x:c>
      <x:c r="AC7" s="30" t="str">
        <x:v>High</x:v>
      </x:c>
      <x:c r="AD7" s="26"/>
      <x:c r="AE7" s="26" t="str">
        <x:v>Fisheries &amp; aquaculture</x:v>
      </x:c>
      <x:c r="AF7" s="26" t="str">
        <x:v>Registry &amp; digital identity; Fisheries &amp; aquaculture</x:v>
      </x:c>
      <x:c r="AG7" s="26" t="str">
        <x:v>Cross-sector</x:v>
      </x:c>
      <x:c r="AH7" s="26" t="str">
        <x:v>Registration &amp; identity</x:v>
      </x:c>
      <x:c r="AI7" s="26" t="str">
        <x:v>Web / portal</x:v>
      </x:c>
      <x:c r="AJ7" s="30" t="n">
        <x:f>IF(AF7="","",LEN(AF7)-LEN(SUBSTITUTE(AF7,";",""))+1)</x:f>
        <x:v>2</x:v>
      </x:c>
      <x:c r="AK7" s="26" t="str">
        <x:v>Not dedicated</x:v>
      </x:c>
    </x:row>
    <x:row r="8" ht="56" customHeight="1">
      <x:c r="A8" s="26" t="str">
        <x:v>D2-004</x:v>
      </x:c>
      <x:c r="B8" s="26" t="str">
        <x:v>Farmers and Fisherfolk Enterprise Development Information System</x:v>
      </x:c>
      <x:c r="C8" s="26" t="str">
        <x:v>FFEDIS</x:v>
      </x:c>
      <x:c r="D8" s="26" t="str">
        <x:v>Department of Agriculture</x:v>
      </x:c>
      <x:c r="E8" s="26" t="str">
        <x:v>National government</x:v>
      </x:c>
      <x:c r="F8" s="26" t="str">
        <x:v>Cross-sector enterprises</x:v>
      </x:c>
      <x:c r="G8" s="26" t="str">
        <x:v>National</x:v>
      </x:c>
      <x:c r="H8" s="26" t="str">
        <x:v>Enterprise development and procurement</x:v>
      </x:c>
      <x:c r="I8" s="26" t="str">
        <x:v>Decision support / public service</x:v>
      </x:c>
      <x:c r="J8" s="26" t="str">
        <x:v>Registry &amp; digital identity</x:v>
      </x:c>
      <x:c r="K8" s="26" t="str">
        <x:v>Registers agri-fishery enterprises, programs, opportunities and Sagip Saka procurement</x:v>
      </x:c>
      <x:c r="L8" s="26" t="str">
        <x:v>Web registry and opportunity portal</x:v>
      </x:c>
      <x:c r="M8" s="26" t="str">
        <x:v>FCAs, enterprises, buyers, donors, agencies</x:v>
      </x:c>
      <x:c r="N8" s="30" t="str">
        <x:v>Yes</x:v>
      </x:c>
      <x:c r="O8" s="30" t="str">
        <x:v>Indirect</x:v>
      </x:c>
      <x:c r="P8" s="30" t="str">
        <x:v>No</x:v>
      </x:c>
      <x:c r="Q8" s="26" t="str">
        <x:v>Institutionalized</x:v>
      </x:c>
      <x:c r="R8" s="26" t="str">
        <x:v>Active / operational</x:v>
      </x:c>
      <x:c r="S8" s="26" t="str">
        <x:v>Ongoing national registrations and opportunity postings in 2025–2026</x:v>
      </x:c>
      <x:c r="T8" s="26" t="str">
        <x:v>Legal mandate and program linkage</x:v>
      </x:c>
      <x:c r="U8" s="26" t="str">
        <x:v>Validation workload, awareness and conversion to actual transactions</x:v>
      </x:c>
      <x:c r="V8" s="26" t="str">
        <x:v>Enterprise and partner data require consent and access rules</x:v>
      </x:c>
      <x:c r="W8" s="26" t="str">
        <x:v>Enterprise registry and opportunity feed</x:v>
      </x:c>
      <x:c r="X8" s="30" t="str">
        <x:v>High</x:v>
      </x:c>
      <x:c r="Y8" s="26" t="str">
        <x:v>Federate verified enterprise profiles and procurement notices through APIs or scheduled feeds</x:v>
      </x:c>
      <x:c r="Z8" s="32" t="str">
        <x:v>https://ffedis.da.gov.ph/</x:v>
      </x:c>
      <x:c r="AA8" s="32" t="str">
        <x:v>https://sagipsaka.da.gov.ph/</x:v>
      </x:c>
      <x:c r="AB8" s="30" t="str">
        <x:v>2026-07-11</x:v>
      </x:c>
      <x:c r="AC8" s="30" t="str">
        <x:v>High</x:v>
      </x:c>
      <x:c r="AD8" s="26"/>
      <x:c r="AE8" s="26" t="str">
        <x:v>Markets, e-commerce &amp; logistics; Fisheries &amp; aquaculture; Data infrastructure, interoperability &amp; dashboards</x:v>
      </x:c>
      <x:c r="AF8" s="26" t="str">
        <x:v>Registry &amp; digital identity; Markets, e-commerce &amp; logistics; Fisheries &amp; aquaculture; Data infrastructure, interoperability &amp; dashboards</x:v>
      </x:c>
      <x:c r="AG8" s="26" t="str">
        <x:v>Cross-sector; Fisheries &amp; aquaculture</x:v>
      </x:c>
      <x:c r="AH8" s="26" t="str">
        <x:v>Registration &amp; identity</x:v>
      </x:c>
      <x:c r="AI8" s="26" t="str">
        <x:v>Web / portal; Database / MIS</x:v>
      </x:c>
      <x:c r="AJ8" s="30" t="n">
        <x:f>IF(AF8="","",LEN(AF8)-LEN(SUBSTITUTE(AF8,";",""))+1)</x:f>
        <x:v>4</x:v>
      </x:c>
      <x:c r="AK8" s="26" t="str">
        <x:v>Not dedicated</x:v>
      </x:c>
    </x:row>
    <x:row r="9" ht="56" customHeight="1">
      <x:c r="A9" s="26" t="str">
        <x:v>D2-005</x:v>
      </x:c>
      <x:c r="B9" s="26" t="str">
        <x:v>Farmers and Fisheries Registration System / Farmers Intervention Monitoring System</x:v>
      </x:c>
      <x:c r="C9" s="26" t="str">
        <x:v>FFRS / FIMS</x:v>
      </x:c>
      <x:c r="D9" s="26" t="str">
        <x:v>Department of Agriculture</x:v>
      </x:c>
      <x:c r="E9" s="26" t="str">
        <x:v>National government</x:v>
      </x:c>
      <x:c r="F9" s="26" t="str">
        <x:v>Cross-sector</x:v>
      </x:c>
      <x:c r="G9" s="26" t="str">
        <x:v>National</x:v>
      </x:c>
      <x:c r="H9" s="26" t="str">
        <x:v>Beneficiary and intervention monitoring</x:v>
      </x:c>
      <x:c r="I9" s="26" t="str">
        <x:v>Decision support / public service</x:v>
      </x:c>
      <x:c r="J9" s="26" t="str">
        <x:v>Data infrastructure, interoperability &amp; dashboards</x:v>
      </x:c>
      <x:c r="K9" s="26" t="str">
        <x:v>Integrated registry and monitoring concept for beneficiaries and interventions</x:v>
      </x:c>
      <x:c r="L9" s="26" t="str">
        <x:v>Government MIS and geolocation</x:v>
      </x:c>
      <x:c r="M9" s="26" t="str">
        <x:v>DA managers, implementers and LGUs</x:v>
      </x:c>
      <x:c r="N9" s="30" t="str">
        <x:v>Indirect</x:v>
      </x:c>
      <x:c r="O9" s="30" t="str">
        <x:v>Indirect</x:v>
      </x:c>
      <x:c r="P9" s="30" t="str">
        <x:v>No</x:v>
      </x:c>
      <x:c r="Q9" s="26" t="str">
        <x:v>Institutional / evolving</x:v>
      </x:c>
      <x:c r="R9" s="26" t="str">
        <x:v>Status unverified</x:v>
      </x:c>
      <x:c r="S9" s="26" t="str">
        <x:v>Announced as part of upgraded DA management information systems</x:v>
      </x:c>
      <x:c r="T9" s="26" t="str">
        <x:v>Potential linkage of registry, interventions and M&amp;E</x:v>
      </x:c>
      <x:c r="U9" s="26" t="str">
        <x:v>Unclear present architecture, overlaps and public status</x:v>
      </x:c>
      <x:c r="V9" s="26" t="str">
        <x:v>Should align with RSBSA, GeoCamera and program databases</x:v>
      </x:c>
      <x:c r="W9" s="26" t="str">
        <x:v>Program monitoring and data exchange</x:v>
      </x:c>
      <x:c r="X9" s="30" t="str">
        <x:v>High</x:v>
      </x:c>
      <x:c r="Y9" s="26" t="str">
        <x:v>Conduct a current architecture and overlap audit before SINAG integration</x:v>
      </x:c>
      <x:c r="Z9" s="32" t="str">
        <x:v>https://pcaf.da.gov.ph/index.php/2020/06/01/da-lays-foundation-to-digitize-agri-fishery-repost/</x:v>
      </x:c>
      <x:c r="AA9" s="32"/>
      <x:c r="AB9" s="30" t="str">
        <x:v>2026-07-11</x:v>
      </x:c>
      <x:c r="AC9" s="30" t="str">
        <x:v>Medium</x:v>
      </x:c>
      <x:c r="AD9" s="26"/>
      <x:c r="AE9" s="26" t="str">
        <x:v>Registry &amp; digital identity; Fisheries &amp; aquaculture</x:v>
      </x:c>
      <x:c r="AF9" s="26" t="str">
        <x:v>Registry &amp; digital identity; Fisheries &amp; aquaculture; Data infrastructure, interoperability &amp; dashboards</x:v>
      </x:c>
      <x:c r="AG9" s="26" t="str">
        <x:v>Cross-sector; Fisheries &amp; aquaculture</x:v>
      </x:c>
      <x:c r="AH9" s="26" t="str">
        <x:v>Registration &amp; identity; Production &amp; farm management; Policy, planning &amp; program monitoring</x:v>
      </x:c>
      <x:c r="AI9" s="26" t="str">
        <x:v>Database / MIS</x:v>
      </x:c>
      <x:c r="AJ9" s="30" t="n">
        <x:f>IF(AF9="","",LEN(AF9)-LEN(SUBSTITUTE(AF9,";",""))+1)</x:f>
        <x:v>3</x:v>
      </x:c>
      <x:c r="AK9" s="26" t="str">
        <x:v>Not dedicated</x:v>
      </x:c>
    </x:row>
    <x:row r="10" ht="56" customHeight="1">
      <x:c r="A10" s="26" t="str">
        <x:v>D2-006</x:v>
      </x:c>
      <x:c r="B10" s="26" t="str">
        <x:v>DA GeoCamera</x:v>
      </x:c>
      <x:c r="C10" s="26" t="str">
        <x:v>DA GeoCamera</x:v>
      </x:c>
      <x:c r="D10" s="26" t="str">
        <x:v>Department of Agriculture</x:v>
      </x:c>
      <x:c r="E10" s="26" t="str">
        <x:v>National government</x:v>
      </x:c>
      <x:c r="F10" s="26" t="str">
        <x:v>Cross-sector</x:v>
      </x:c>
      <x:c r="G10" s="26" t="str">
        <x:v>National</x:v>
      </x:c>
      <x:c r="H10" s="26" t="str">
        <x:v>Program implementation and monitoring</x:v>
      </x:c>
      <x:c r="I10" s="26" t="str">
        <x:v>Decision support / public service</x:v>
      </x:c>
      <x:c r="J10" s="26" t="str">
        <x:v>Data infrastructure, interoperability &amp; dashboards</x:v>
      </x:c>
      <x:c r="K10" s="26" t="str">
        <x:v>Captures geotagged and time-stamped project-monitoring photos</x:v>
      </x:c>
      <x:c r="L10" s="26" t="str">
        <x:v>Android app and geotagging</x:v>
      </x:c>
      <x:c r="M10" s="26" t="str">
        <x:v>DA implementers and inspectors</x:v>
      </x:c>
      <x:c r="N10" s="30" t="str">
        <x:v>Indirect</x:v>
      </x:c>
      <x:c r="O10" s="30" t="str">
        <x:v>Indirect</x:v>
      </x:c>
      <x:c r="P10" s="30" t="str">
        <x:v>No</x:v>
      </x:c>
      <x:c r="Q10" s="26" t="str">
        <x:v>Operational</x:v>
      </x:c>
      <x:c r="R10" s="26" t="str">
        <x:v>Active / operational</x:v>
      </x:c>
      <x:c r="S10" s="26" t="str">
        <x:v>50,000+ Google Play downloads</x:v>
      </x:c>
      <x:c r="T10" s="26" t="str">
        <x:v>Simple standardized field evidence capture</x:v>
      </x:c>
      <x:c r="U10" s="26" t="str">
        <x:v>Spoofing, metadata consistency and linkage to intervention records</x:v>
      </x:c>
      <x:c r="V10" s="26" t="str">
        <x:v>Location and image data need signed submissions, access control and retention rules</x:v>
      </x:c>
      <x:c r="W10" s="26" t="str">
        <x:v>Field validation evidence feed</x:v>
      </x:c>
      <x:c r="X10" s="30" t="str">
        <x:v>High</x:v>
      </x:c>
      <x:c r="Y10" s="26" t="str">
        <x:v>Adopt common geospatial metadata and connect submissions to intervention IDs</x:v>
      </x:c>
      <x:c r="Z10" s="32" t="str">
        <x:v>https://play.google.com/store/apps/details?id=com.da.geocamera</x:v>
      </x:c>
      <x:c r="AA10" s="32" t="str">
        <x:v>https://pcaf.da.gov.ph/index.php/2020/06/01/da-lays-foundation-to-digitize-agri-fishery-repost/</x:v>
      </x:c>
      <x:c r="AB10" s="30" t="str">
        <x:v>2026-07-11</x:v>
      </x:c>
      <x:c r="AC10" s="30" t="str">
        <x:v>High</x:v>
      </x:c>
      <x:c r="AD10" s="26"/>
      <x:c r="AE10" s="26" t="str"/>
      <x:c r="AF10" s="26" t="str">
        <x:v>Data infrastructure, interoperability &amp; dashboards</x:v>
      </x:c>
      <x:c r="AG10" s="26" t="str">
        <x:v>Cross-sector</x:v>
      </x:c>
      <x:c r="AH10" s="26" t="str">
        <x:v>Production &amp; farm management</x:v>
      </x:c>
      <x:c r="AI10" s="26" t="str">
        <x:v>Mobile / Android</x:v>
      </x:c>
      <x:c r="AJ10" s="30" t="n">
        <x:f>IF(AF10="","",LEN(AF10)-LEN(SUBSTITUTE(AF10,";",""))+1)</x:f>
        <x:v>1</x:v>
      </x:c>
      <x:c r="AK10" s="26" t="str">
        <x:v>Not dedicated</x:v>
      </x:c>
    </x:row>
    <x:row r="11" ht="56" customHeight="1">
      <x:c r="A11" s="26" t="str">
        <x:v>D2-007</x:v>
      </x:c>
      <x:c r="B11" s="26" t="str">
        <x:v>GEOAGRI</x:v>
      </x:c>
      <x:c r="C11" s="26" t="str">
        <x:v>GEOAGRI</x:v>
      </x:c>
      <x:c r="D11" s="26" t="str">
        <x:v>DA-Bureau of Agricultural and Fisheries Engineering</x:v>
      </x:c>
      <x:c r="E11" s="26" t="str">
        <x:v>National government</x:v>
      </x:c>
      <x:c r="F11" s="26" t="str">
        <x:v>Farm machinery and infrastructure</x:v>
      </x:c>
      <x:c r="G11" s="26" t="str">
        <x:v>National</x:v>
      </x:c>
      <x:c r="H11" s="26" t="str">
        <x:v>Mechanization and asset monitoring</x:v>
      </x:c>
      <x:c r="I11" s="26" t="str">
        <x:v>Agricultural automation / smart farming</x:v>
      </x:c>
      <x:c r="J11" s="26" t="str">
        <x:v>Mechanization &amp; equipment-as-a-service</x:v>
      </x:c>
      <x:c r="K11" s="26" t="str">
        <x:v>Geospatial inventory and monitoring of machinery and infrastructure</x:v>
      </x:c>
      <x:c r="L11" s="26" t="str">
        <x:v>WebGIS, mobile geotagging and database</x:v>
      </x:c>
      <x:c r="M11" s="26" t="str">
        <x:v>DA, BAFE, RFOs, LGUs and beneficiaries</x:v>
      </x:c>
      <x:c r="N11" s="30" t="str">
        <x:v>Indirect</x:v>
      </x:c>
      <x:c r="O11" s="30" t="str">
        <x:v>Indirect</x:v>
      </x:c>
      <x:c r="P11" s="30" t="str">
        <x:v>Indirect</x:v>
      </x:c>
      <x:c r="Q11" s="26" t="str">
        <x:v>Operational / expanding</x:v>
      </x:c>
      <x:c r="R11" s="26" t="str">
        <x:v>Status unverified</x:v>
      </x:c>
      <x:c r="S11" s="26" t="str">
        <x:v>Identified in the national PIDS digital agriculture review</x:v>
      </x:c>
      <x:c r="T11" s="26" t="str">
        <x:v>Fit with public machinery accountability</x:v>
      </x:c>
      <x:c r="U11" s="26" t="str">
        <x:v>Updating, ownership changes and asset utilization tracking</x:v>
      </x:c>
      <x:c r="V11" s="26" t="str">
        <x:v>APIs and linkage with farmer/equipment registries are not publicly documented</x:v>
      </x:c>
      <x:c r="W11" s="26" t="str">
        <x:v>Mechanization registry and asset-monitoring source</x:v>
      </x:c>
      <x:c r="X11" s="30" t="str">
        <x:v>High</x:v>
      </x:c>
      <x:c r="Y11" s="26" t="str">
        <x:v>Add persistent equipment IDs, utilization, maintenance and service availability</x:v>
      </x:c>
      <x:c r="Z11" s="32" t="str">
        <x:v>https://pidswebs.pids.gov.ph/CDN/document/pidsdps2329.pdf</x:v>
      </x:c>
      <x:c r="AA11" s="32" t="str">
        <x:v>https://www.bafe.da.gov.ph/</x:v>
      </x:c>
      <x:c r="AB11" s="30" t="str">
        <x:v>2026-07-11</x:v>
      </x:c>
      <x:c r="AC11" s="30" t="str">
        <x:v>Medium</x:v>
      </x:c>
      <x:c r="AD11" s="26"/>
      <x:c r="AE11" s="26" t="str">
        <x:v>Registry &amp; digital identity; Precision agriculture, EO, drones &amp; IoT; Data infrastructure, interoperability &amp; dashboards</x:v>
      </x:c>
      <x:c r="AF11" s="26" t="str">
        <x:v>Registry &amp; digital identity; Precision agriculture, EO, drones &amp; IoT; Mechanization &amp; equipment-as-a-service; Data infrastructure, interoperability &amp; dashboards</x:v>
      </x:c>
      <x:c r="AG11" s="26" t="str">
        <x:v>Agriculture — general</x:v>
      </x:c>
      <x:c r="AH11" s="26" t="str">
        <x:v>Production &amp; farm management</x:v>
      </x:c>
      <x:c r="AI11" s="26" t="str">
        <x:v>Web / portal; Mobile / Android; Database / MIS; GIS / WebGIS</x:v>
      </x:c>
      <x:c r="AJ11" s="30" t="n">
        <x:f>IF(AF11="","",LEN(AF11)-LEN(SUBSTITUTE(AF11,";",""))+1)</x:f>
        <x:v>4</x:v>
      </x:c>
      <x:c r="AK11" s="26" t="str">
        <x:v>Not dedicated</x:v>
      </x:c>
    </x:row>
    <x:row r="12" ht="56" customHeight="1">
      <x:c r="A12" s="26" t="str">
        <x:v>D2-008</x:v>
      </x:c>
      <x:c r="B12" s="26" t="str">
        <x:v>DA DOS Regional Government Analytics</x:v>
      </x:c>
      <x:c r="C12" s="26" t="str">
        <x:v>DA DOS Analytics</x:v>
      </x:c>
      <x:c r="D12" s="26" t="str">
        <x:v>DA Regional Field Office II</x:v>
      </x:c>
      <x:c r="E12" s="26" t="str">
        <x:v>Regional government</x:v>
      </x:c>
      <x:c r="F12" s="26" t="str">
        <x:v>Cross-sector</x:v>
      </x:c>
      <x:c r="G12" s="26" t="str">
        <x:v>Cagayan Valley / Region II</x:v>
      </x:c>
      <x:c r="H12" s="26" t="str">
        <x:v>Program analytics and management</x:v>
      </x:c>
      <x:c r="I12" s="26" t="str">
        <x:v>Decision support / public service</x:v>
      </x:c>
      <x:c r="J12" s="26" t="str">
        <x:v>Data infrastructure, interoperability &amp; dashboards</x:v>
      </x:c>
      <x:c r="K12" s="26" t="str">
        <x:v>Regional agriculture analytics and management dashboard</x:v>
      </x:c>
      <x:c r="L12" s="26" t="str">
        <x:v>Dashboard and analytics</x:v>
      </x:c>
      <x:c r="M12" s="26" t="str">
        <x:v>Regional DA managers and implementers</x:v>
      </x:c>
      <x:c r="N12" s="30" t="str">
        <x:v>Indirect</x:v>
      </x:c>
      <x:c r="O12" s="30" t="str">
        <x:v>Indirect</x:v>
      </x:c>
      <x:c r="P12" s="30" t="str">
        <x:v>Indirect</x:v>
      </x:c>
      <x:c r="Q12" s="26" t="str">
        <x:v>Operational / regional</x:v>
      </x:c>
      <x:c r="R12" s="26" t="str">
        <x:v>Active / operational</x:v>
      </x:c>
      <x:c r="S12" s="26" t="str">
        <x:v>Launched as a regional digital agriculture initiative in July 2025</x:v>
      </x:c>
      <x:c r="T12" s="26" t="str">
        <x:v>Regional ownership and proximity to operations</x:v>
      </x:c>
      <x:c r="U12" s="26" t="str">
        <x:v>Potential duplication and inconsistent indicators across regions</x:v>
      </x:c>
      <x:c r="V12" s="26" t="str">
        <x:v>Interfaces and common national standards are not public</x:v>
      </x:c>
      <x:c r="W12" s="26" t="str">
        <x:v>Regional analytics node</x:v>
      </x:c>
      <x:c r="X12" s="30" t="str">
        <x:v>High</x:v>
      </x:c>
      <x:c r="Y12" s="26" t="str">
        <x:v>Retain the regional dashboard but align indicators and metadata with SINAG</x:v>
      </x:c>
      <x:c r="Z12" s="32" t="str">
        <x:v>https://cagayanvalley.da.gov.ph/2025/07/10/technology-nutrition-and-innovation-a-3-in-1-celebration-of-digital-agriculture-national-nutrition-month-food-revolution-region-02-champouradu/</x:v>
      </x:c>
      <x:c r="AA12" s="32"/>
      <x:c r="AB12" s="30" t="str">
        <x:v>2026-07-11</x:v>
      </x:c>
      <x:c r="AC12" s="30" t="str">
        <x:v>High</x:v>
      </x:c>
      <x:c r="AD12" s="26"/>
      <x:c r="AE12" s="26" t="str"/>
      <x:c r="AF12" s="26" t="str">
        <x:v>Data infrastructure, interoperability &amp; dashboards</x:v>
      </x:c>
      <x:c r="AG12" s="26" t="str">
        <x:v>Cross-sector</x:v>
      </x:c>
      <x:c r="AH12" s="26" t="str">
        <x:v>Cross-cutting</x:v>
      </x:c>
      <x:c r="AI12" s="26" t="str">
        <x:v>Dashboard / analytics</x:v>
      </x:c>
      <x:c r="AJ12" s="30" t="n">
        <x:f>IF(AF12="","",LEN(AF12)-LEN(SUBSTITUTE(AF12,";",""))+1)</x:f>
        <x:v>1</x:v>
      </x:c>
      <x:c r="AK12" s="26" t="str">
        <x:v>Not dedicated</x:v>
      </x:c>
    </x:row>
    <x:row r="13" ht="56" customHeight="1">
      <x:c r="A13" s="26" t="str">
        <x:v>D2-009</x:v>
      </x:c>
      <x:c r="B13" s="26" t="str">
        <x:v>Agriculture and Fisheries Market Information System / Bantay Presyo</x:v>
      </x:c>
      <x:c r="C13" s="26" t="str">
        <x:v>AFMIS / Bantay Presyo</x:v>
      </x:c>
      <x:c r="D13" s="26" t="str">
        <x:v>Department of Agriculture</x:v>
      </x:c>
      <x:c r="E13" s="26" t="str">
        <x:v>National government</x:v>
      </x:c>
      <x:c r="F13" s="26" t="str">
        <x:v>Cross-sector</x:v>
      </x:c>
      <x:c r="G13" s="26" t="str">
        <x:v>National</x:v>
      </x:c>
      <x:c r="H13" s="26" t="str">
        <x:v>Market and price information</x:v>
      </x:c>
      <x:c r="I13" s="26" t="str">
        <x:v>Information and advisory services</x:v>
      </x:c>
      <x:c r="J13" s="26" t="str">
        <x:v>Markets, e-commerce &amp; logistics</x:v>
      </x:c>
      <x:c r="K13" s="26" t="str">
        <x:v>Collects and publishes agricultural and fisheries prices and market information</x:v>
      </x:c>
      <x:c r="L13" s="26" t="str">
        <x:v>Web reports, databases and dashboards</x:v>
      </x:c>
      <x:c r="M13" s="26" t="str">
        <x:v>Farmers, traders, consumers and analysts</x:v>
      </x:c>
      <x:c r="N13" s="30" t="str">
        <x:v>Indirect</x:v>
      </x:c>
      <x:c r="O13" s="30" t="str">
        <x:v>Indirect</x:v>
      </x:c>
      <x:c r="P13" s="30" t="str">
        <x:v>No</x:v>
      </x:c>
      <x:c r="Q13" s="26" t="str">
        <x:v>Institutionalized</x:v>
      </x:c>
      <x:c r="R13" s="26" t="str">
        <x:v>Active / operational</x:v>
      </x:c>
      <x:c r="S13" s="26" t="str">
        <x:v>National official price-monitoring function</x:v>
      </x:c>
      <x:c r="T13" s="26" t="str">
        <x:v>Official mandate and broad coverage</x:v>
      </x:c>
      <x:c r="U13" s="26" t="str">
        <x:v>Timeliness, granularity, comparability and linkage to selling options</x:v>
      </x:c>
      <x:c r="V13" s="26" t="str">
        <x:v>Machine-readable access and data definitions should be standardized</x:v>
      </x:c>
      <x:c r="W13" s="26" t="str">
        <x:v>Authoritative market-intelligence feed</x:v>
      </x:c>
      <x:c r="X13" s="30" t="str">
        <x:v>High</x:v>
      </x:c>
      <x:c r="Y13" s="26" t="str">
        <x:v>Expose price APIs with freshness, geography, quality grade and methodology metadata</x:v>
      </x:c>
      <x:c r="Z13" s="32" t="str">
        <x:v>https://www.da.gov.ph/price-monitoring/</x:v>
      </x:c>
      <x:c r="AA13" s="32" t="str">
        <x:v>https://pidswebs.pids.gov.ph/CDN/document/pidsdps2329.pdf</x:v>
      </x:c>
      <x:c r="AB13" s="30" t="str">
        <x:v>2026-07-11</x:v>
      </x:c>
      <x:c r="AC13" s="30" t="str">
        <x:v>Medium</x:v>
      </x:c>
      <x:c r="AD13" s="26"/>
      <x:c r="AE13" s="26" t="str">
        <x:v>Advisory &amp; e-extension; Fisheries &amp; aquaculture; Data infrastructure, interoperability &amp; dashboards</x:v>
      </x:c>
      <x:c r="AF13" s="26" t="str">
        <x:v>Advisory &amp; e-extension; Markets, e-commerce &amp; logistics; Fisheries &amp; aquaculture; Data infrastructure, interoperability &amp; dashboards</x:v>
      </x:c>
      <x:c r="AG13" s="26" t="str">
        <x:v>Cross-sector; Rice / palay; Fisheries &amp; aquaculture</x:v>
      </x:c>
      <x:c r="AH13" s="26" t="str">
        <x:v>Logistics &amp; distribution; Markets &amp; trade; Extension, training &amp; support</x:v>
      </x:c>
      <x:c r="AI13" s="26" t="str">
        <x:v>Web / portal; Database / MIS; Dashboard / analytics</x:v>
      </x:c>
      <x:c r="AJ13" s="30" t="n">
        <x:f>IF(AF13="","",LEN(AF13)-LEN(SUBSTITUTE(AF13,";",""))+1)</x:f>
        <x:v>4</x:v>
      </x:c>
      <x:c r="AK13" s="26" t="str">
        <x:v>Not dedicated</x:v>
      </x:c>
    </x:row>
    <x:row r="14" ht="56" customHeight="1">
      <x:c r="A14" s="26" t="str">
        <x:v>D2-010</x:v>
      </x:c>
      <x:c r="B14" s="26" t="str">
        <x:v>e-Kadiwa / Kadiwa Digital Market Channels</x:v>
      </x:c>
      <x:c r="C14" s="26" t="str">
        <x:v>e-Kadiwa</x:v>
      </x:c>
      <x:c r="D14" s="26" t="str">
        <x:v>Department of Agriculture and partners</x:v>
      </x:c>
      <x:c r="E14" s="26" t="str">
        <x:v>Government partnership</x:v>
      </x:c>
      <x:c r="F14" s="26" t="str">
        <x:v>Cross-sector</x:v>
      </x:c>
      <x:c r="G14" s="26" t="str">
        <x:v>National / multi-region</x:v>
      </x:c>
      <x:c r="H14" s="26" t="str">
        <x:v>Market linkage</x:v>
      </x:c>
      <x:c r="I14" s="26" t="str">
        <x:v>E-commerce</x:v>
      </x:c>
      <x:c r="J14" s="26" t="str">
        <x:v>Markets, e-commerce &amp; logistics</x:v>
      </x:c>
      <x:c r="K14" s="26" t="str">
        <x:v>Digital promotion and ordering channels connecting producers and consumers</x:v>
      </x:c>
      <x:c r="L14" s="26" t="str">
        <x:v>Web, social media and digital ordering</x:v>
      </x:c>
      <x:c r="M14" s="26" t="str">
        <x:v>FCAs, farmers, consumers and institutional buyers</x:v>
      </x:c>
      <x:c r="N14" s="30" t="str">
        <x:v>Indirect</x:v>
      </x:c>
      <x:c r="O14" s="30" t="str">
        <x:v>Indirect</x:v>
      </x:c>
      <x:c r="P14" s="30" t="str">
        <x:v>No</x:v>
      </x:c>
      <x:c r="Q14" s="26" t="str">
        <x:v>Operational / evolving</x:v>
      </x:c>
      <x:c r="R14" s="26" t="str">
        <x:v>Status unverified</x:v>
      </x:c>
      <x:c r="S14" s="26" t="str">
        <x:v>Expanded during the pandemic; current platform configuration varies</x:v>
      </x:c>
      <x:c r="T14" s="26" t="str">
        <x:v>Government convening and producer-group linkage</x:v>
      </x:c>
      <x:c r="U14" s="26" t="str">
        <x:v>Platform continuity, logistics, inventory reliability and fragmented regional versions</x:v>
      </x:c>
      <x:c r="V14" s="26" t="str">
        <x:v>Integration with FFEDIS, price systems and logistics is not consistently public</x:v>
      </x:c>
      <x:c r="W14" s="26" t="str">
        <x:v>Marketplace and procurement referral</x:v>
      </x:c>
      <x:c r="X14" s="30" t="str">
        <x:v>Medium</x:v>
      </x:c>
      <x:c r="Y14" s="26" t="str">
        <x:v>Treat Kadiwa as federated listings and referrals rather than building a duplicate storefront</x:v>
      </x:c>
      <x:c r="Z14" s="32" t="str">
        <x:v>https://www.da.gov.ph/kadiwa-ng-pangulo/</x:v>
      </x:c>
      <x:c r="AA14" s="32" t="str">
        <x:v>https://pidswebs.pids.gov.ph/CDN/document/pidsdps2329.pdf</x:v>
      </x:c>
      <x:c r="AB14" s="30" t="str">
        <x:v>2026-07-11</x:v>
      </x:c>
      <x:c r="AC14" s="30" t="str">
        <x:v>Medium</x:v>
      </x:c>
      <x:c r="AD14" s="26"/>
      <x:c r="AE14" s="26" t="str"/>
      <x:c r="AF14" s="26" t="str">
        <x:v>Markets, e-commerce &amp; logistics</x:v>
      </x:c>
      <x:c r="AG14" s="26" t="str">
        <x:v>Cross-sector</x:v>
      </x:c>
      <x:c r="AH14" s="26" t="str">
        <x:v>Logistics &amp; distribution; Markets &amp; trade</x:v>
      </x:c>
      <x:c r="AI14" s="26" t="str">
        <x:v>Web / portal</x:v>
      </x:c>
      <x:c r="AJ14" s="30" t="n">
        <x:f>IF(AF14="","",LEN(AF14)-LEN(SUBSTITUTE(AF14,";",""))+1)</x:f>
        <x:v>1</x:v>
      </x:c>
      <x:c r="AK14" s="26" t="str">
        <x:v>Not dedicated</x:v>
      </x:c>
    </x:row>
    <x:row r="15" ht="56" customHeight="1">
      <x:c r="A15" s="26" t="str">
        <x:v>D2-011</x:v>
      </x:c>
      <x:c r="B15" s="26" t="str">
        <x:v>Agro-Climatic Advisory Portal</x:v>
      </x:c>
      <x:c r="C15" s="26" t="str">
        <x:v>ACAP</x:v>
      </x:c>
      <x:c r="D15" s="26" t="str">
        <x:v>Department of Agriculture</x:v>
      </x:c>
      <x:c r="E15" s="26" t="str">
        <x:v>National government</x:v>
      </x:c>
      <x:c r="F15" s="26" t="str">
        <x:v>Cross-sector</x:v>
      </x:c>
      <x:c r="G15" s="26" t="str">
        <x:v>National and regional</x:v>
      </x:c>
      <x:c r="H15" s="26" t="str">
        <x:v>Production planning and risk management</x:v>
      </x:c>
      <x:c r="I15" s="26" t="str">
        <x:v>Decision support / computer-enabled systems</x:v>
      </x:c>
      <x:c r="J15" s="26" t="str">
        <x:v>Climate, weather &amp; early warning</x:v>
      </x:c>
      <x:c r="K15" s="26" t="str">
        <x:v>Provides agro-climatic information and advisories</x:v>
      </x:c>
      <x:c r="L15" s="26" t="str">
        <x:v>Web portal, maps and bulletins</x:v>
      </x:c>
      <x:c r="M15" s="26" t="str">
        <x:v>Farmers, extension workers, LGUs and planners</x:v>
      </x:c>
      <x:c r="N15" s="30" t="str">
        <x:v>Indirect</x:v>
      </x:c>
      <x:c r="O15" s="30" t="str">
        <x:v>Yes</x:v>
      </x:c>
      <x:c r="P15" s="30" t="str">
        <x:v>Indirect</x:v>
      </x:c>
      <x:c r="Q15" s="26" t="str">
        <x:v>Operational / expanding</x:v>
      </x:c>
      <x:c r="R15" s="26" t="str">
        <x:v>Active / operational</x:v>
      </x:c>
      <x:c r="S15" s="26" t="str">
        <x:v>Featured in Region II digital initiatives in 2025</x:v>
      </x:c>
      <x:c r="T15" s="26" t="str">
        <x:v>Direct climate relevance and government ownership</x:v>
      </x:c>
      <x:c r="U15" s="26" t="str">
        <x:v>Localization, uncertainty communication, last-mile delivery and feedback</x:v>
      </x:c>
      <x:c r="V15" s="26" t="str">
        <x:v>Advisory feeds, validity periods and APIs are not publicly standardized</x:v>
      </x:c>
      <x:c r="W15" s="26" t="str">
        <x:v>Climate data and advisory feed</x:v>
      </x:c>
      <x:c r="X15" s="30" t="str">
        <x:v>High</x:v>
      </x:c>
      <x:c r="Y15" s="26" t="str">
        <x:v>Publish machine-readable advisories with geography, uncertainty and validity period</x:v>
      </x:c>
      <x:c r="Z15" s="32" t="str">
        <x:v>https://cagayanvalley.da.gov.ph/2025/07/10/technology-nutrition-and-innovation-a-3-in-1-celebration-of-digital-agriculture-national-nutrition-month-food-revolution-region-02-champouradu/</x:v>
      </x:c>
      <x:c r="AA15" s="32" t="str">
        <x:v>https://pidswebs.pids.gov.ph/CDN/document/pidsdps2329.pdf</x:v>
      </x:c>
      <x:c r="AB15" s="30" t="str">
        <x:v>2026-07-11</x:v>
      </x:c>
      <x:c r="AC15" s="30" t="str">
        <x:v>High</x:v>
      </x:c>
      <x:c r="AD15" s="26"/>
      <x:c r="AE15" s="26" t="str">
        <x:v>Advisory &amp; e-extension</x:v>
      </x:c>
      <x:c r="AF15" s="26" t="str">
        <x:v>Advisory &amp; e-extension; Climate, weather &amp; early warning</x:v>
      </x:c>
      <x:c r="AG15" s="26" t="str">
        <x:v>Cross-sector</x:v>
      </x:c>
      <x:c r="AH15" s="26" t="str">
        <x:v>Production &amp; farm management</x:v>
      </x:c>
      <x:c r="AI15" s="26" t="str">
        <x:v>Web / portal</x:v>
      </x:c>
      <x:c r="AJ15" s="30" t="n">
        <x:f>IF(AF15="","",LEN(AF15)-LEN(SUBSTITUTE(AF15,";",""))+1)</x:f>
        <x:v>2</x:v>
      </x:c>
      <x:c r="AK15" s="26" t="str">
        <x:v>Not dedicated</x:v>
      </x:c>
    </x:row>
    <x:row r="16" ht="56" customHeight="1">
      <x:c r="A16" s="26" t="str">
        <x:v>D2-012</x:v>
      </x:c>
      <x:c r="B16" s="26" t="str">
        <x:v>National Color-Coded Agricultural Guide Map</x:v>
      </x:c>
      <x:c r="C16" s="26" t="str">
        <x:v>NCCAG</x:v>
      </x:c>
      <x:c r="D16" s="26" t="str">
        <x:v>Department of Agriculture</x:v>
      </x:c>
      <x:c r="E16" s="26" t="str">
        <x:v>National government</x:v>
      </x:c>
      <x:c r="F16" s="26" t="str">
        <x:v>Crops and land suitability</x:v>
      </x:c>
      <x:c r="G16" s="26" t="str">
        <x:v>National</x:v>
      </x:c>
      <x:c r="H16" s="26" t="str">
        <x:v>Pre-production planning</x:v>
      </x:c>
      <x:c r="I16" s="26" t="str">
        <x:v>Decision support / computer-enabled systems</x:v>
      </x:c>
      <x:c r="J16" s="26" t="str">
        <x:v>Climate, weather &amp; early warning</x:v>
      </x:c>
      <x:c r="K16" s="26" t="str">
        <x:v>Maps crop suitability and climate-related planning information</x:v>
      </x:c>
      <x:c r="L16" s="26" t="str">
        <x:v>WebGIS and suitability maps</x:v>
      </x:c>
      <x:c r="M16" s="26" t="str">
        <x:v>Farmers, investors, LGUs and planners</x:v>
      </x:c>
      <x:c r="N16" s="30" t="str">
        <x:v>Indirect</x:v>
      </x:c>
      <x:c r="O16" s="30" t="str">
        <x:v>Yes</x:v>
      </x:c>
      <x:c r="P16" s="30" t="str">
        <x:v>Indirect</x:v>
      </x:c>
      <x:c r="Q16" s="26" t="str">
        <x:v>Operational / legacy</x:v>
      </x:c>
      <x:c r="R16" s="26" t="str">
        <x:v>Status unverified</x:v>
      </x:c>
      <x:c r="S16" s="26" t="str">
        <x:v>National coverage documented in PIDS review</x:v>
      </x:c>
      <x:c r="T16" s="26" t="str">
        <x:v>National planning relevance</x:v>
      </x:c>
      <x:c r="U16" s="26" t="str">
        <x:v>Update frequency, validation and conflicting suitability outputs</x:v>
      </x:c>
      <x:c r="V16" s="26" t="str">
        <x:v>Versioning, provenance and comparison with SARAi/soil layers are needed</x:v>
      </x:c>
      <x:c r="W16" s="26" t="str">
        <x:v>Geospatial reference layer</x:v>
      </x:c>
      <x:c r="X16" s="30" t="str">
        <x:v>High</x:v>
      </x:c>
      <x:c r="Y16" s="26" t="str">
        <x:v>Ingest only versioned layers and reconcile contradictory recommendations</x:v>
      </x:c>
      <x:c r="Z16" s="32" t="str">
        <x:v>https://pidswebs.pids.gov.ph/CDN/document/pidsdps2329.pdf</x:v>
      </x:c>
      <x:c r="AA16" s="32"/>
      <x:c r="AB16" s="30" t="str">
        <x:v>2026-07-11</x:v>
      </x:c>
      <x:c r="AC16" s="30" t="str">
        <x:v>Medium</x:v>
      </x:c>
      <x:c r="AD16" s="26"/>
      <x:c r="AE16" s="26" t="str">
        <x:v>Precision agriculture, EO, drones &amp; IoT</x:v>
      </x:c>
      <x:c r="AF16" s="26" t="str">
        <x:v>Climate, weather &amp; early warning; Precision agriculture, EO, drones &amp; IoT</x:v>
      </x:c>
      <x:c r="AG16" s="26" t="str">
        <x:v>Agriculture — general</x:v>
      </x:c>
      <x:c r="AH16" s="26" t="str">
        <x:v>Production &amp; farm management</x:v>
      </x:c>
      <x:c r="AI16" s="26" t="str">
        <x:v>Web / portal; GIS / WebGIS</x:v>
      </x:c>
      <x:c r="AJ16" s="30" t="n">
        <x:f>IF(AF16="","",LEN(AF16)-LEN(SUBSTITUTE(AF16,";",""))+1)</x:f>
        <x:v>2</x:v>
      </x:c>
      <x:c r="AK16" s="26" t="str">
        <x:v>Not dedicated</x:v>
      </x:c>
    </x:row>
    <x:row r="17" ht="56" customHeight="1">
      <x:c r="A17" s="26" t="str">
        <x:v>D2-013</x:v>
      </x:c>
      <x:c r="B17" s="26" t="str">
        <x:v>AMIA Climate-Risk Vulnerability Assessment</x:v>
      </x:c>
      <x:c r="C17" s="26" t="str">
        <x:v>AMIA-CRVA</x:v>
      </x:c>
      <x:c r="D17" s="26" t="str">
        <x:v>Department of Agriculture and research partners</x:v>
      </x:c>
      <x:c r="E17" s="26" t="str">
        <x:v>Government–research partnership</x:v>
      </x:c>
      <x:c r="F17" s="26" t="str">
        <x:v>Cross-sector</x:v>
      </x:c>
      <x:c r="G17" s="26" t="str">
        <x:v>National / provincial</x:v>
      </x:c>
      <x:c r="H17" s="26" t="str">
        <x:v>Climate adaptation planning</x:v>
      </x:c>
      <x:c r="I17" s="26" t="str">
        <x:v>Decision support / computer-enabled systems</x:v>
      </x:c>
      <x:c r="J17" s="26" t="str">
        <x:v>Climate, weather &amp; early warning</x:v>
      </x:c>
      <x:c r="K17" s="26" t="str">
        <x:v>Maps climate risk, vulnerability and adaptation priorities</x:v>
      </x:c>
      <x:c r="L17" s="26" t="str">
        <x:v>GIS, analytics and reports</x:v>
      </x:c>
      <x:c r="M17" s="26" t="str">
        <x:v>DA, LGUs, planners and extension programs</x:v>
      </x:c>
      <x:c r="N17" s="30" t="str">
        <x:v>Indirect</x:v>
      </x:c>
      <x:c r="O17" s="30" t="str">
        <x:v>Yes</x:v>
      </x:c>
      <x:c r="P17" s="30" t="str">
        <x:v>Indirect</x:v>
      </x:c>
      <x:c r="Q17" s="26" t="str">
        <x:v>Institutionalized methodology</x:v>
      </x:c>
      <x:c r="R17" s="26" t="str">
        <x:v>Active / operational</x:v>
      </x:c>
      <x:c r="S17" s="26" t="str">
        <x:v>Used in AMIA planning across multiple regions</x:v>
      </x:c>
      <x:c r="T17" s="26" t="str">
        <x:v>Direct link to climate adaptation planning</x:v>
      </x:c>
      <x:c r="U17" s="26" t="str">
        <x:v>Keeping layers current and converting maps into funded farm actions</x:v>
      </x:c>
      <x:c r="V17" s="26" t="str">
        <x:v>Geospatial and vulnerability data need versioning and ethical aggregation</x:v>
      </x:c>
      <x:c r="W17" s="26" t="str">
        <x:v>Risk layer and planning analytics</x:v>
      </x:c>
      <x:c r="X17" s="30" t="str">
        <x:v>High</x:v>
      </x:c>
      <x:c r="Y17" s="26" t="str">
        <x:v>Link each risk class to actionable programs, advisories and local validation</x:v>
      </x:c>
      <x:c r="Z17" s="32" t="str">
        <x:v>https://amia.da.gov.ph/</x:v>
      </x:c>
      <x:c r="AA17" s="32" t="str">
        <x:v>https://pidswebs.pids.gov.ph/CDN/document/pidsdps2329.pdf</x:v>
      </x:c>
      <x:c r="AB17" s="30" t="str">
        <x:v>2026-07-11</x:v>
      </x:c>
      <x:c r="AC17" s="30" t="str">
        <x:v>High</x:v>
      </x:c>
      <x:c r="AD17" s="26"/>
      <x:c r="AE17" s="26" t="str">
        <x:v>Data infrastructure, interoperability &amp; dashboards</x:v>
      </x:c>
      <x:c r="AF17" s="26" t="str">
        <x:v>Climate, weather &amp; early warning; Data infrastructure, interoperability &amp; dashboards</x:v>
      </x:c>
      <x:c r="AG17" s="26" t="str">
        <x:v>Cross-sector</x:v>
      </x:c>
      <x:c r="AH17" s="26" t="str">
        <x:v>Cross-cutting</x:v>
      </x:c>
      <x:c r="AI17" s="26" t="str">
        <x:v>Dashboard / analytics</x:v>
      </x:c>
      <x:c r="AJ17" s="30" t="n">
        <x:f>IF(AF17="","",LEN(AF17)-LEN(SUBSTITUTE(AF17,";",""))+1)</x:f>
        <x:v>2</x:v>
      </x:c>
      <x:c r="AK17" s="26" t="str">
        <x:v>Not dedicated</x:v>
      </x:c>
    </x:row>
    <x:row r="18" ht="56" customHeight="1">
      <x:c r="A18" s="26" t="str">
        <x:v>D2-014</x:v>
      </x:c>
      <x:c r="B18" s="26" t="str">
        <x:v>Digital Soil Fertility Maps</x:v>
      </x:c>
      <x:c r="C18" s="26" t="str">
        <x:v>DSFM</x:v>
      </x:c>
      <x:c r="D18" s="26" t="str">
        <x:v>Department of Agriculture soil programs</x:v>
      </x:c>
      <x:c r="E18" s="26" t="str">
        <x:v>National / regional government</x:v>
      </x:c>
      <x:c r="F18" s="26" t="str">
        <x:v>Crops and soils</x:v>
      </x:c>
      <x:c r="G18" s="26" t="str">
        <x:v>Multi-region</x:v>
      </x:c>
      <x:c r="H18" s="26" t="str">
        <x:v>Input and nutrient planning</x:v>
      </x:c>
      <x:c r="I18" s="26" t="str">
        <x:v>Decision support / computer-enabled systems</x:v>
      </x:c>
      <x:c r="J18" s="26" t="str">
        <x:v>Inputs, seed &amp; nutrient tools</x:v>
      </x:c>
      <x:c r="K18" s="26" t="str">
        <x:v>Maps soil fertility indicators for site-specific soil and fertilizer management</x:v>
      </x:c>
      <x:c r="L18" s="26" t="str">
        <x:v>WebGIS and spatial database</x:v>
      </x:c>
      <x:c r="M18" s="26" t="str">
        <x:v>Farmers, extension workers, LGUs and input programs</x:v>
      </x:c>
      <x:c r="N18" s="30" t="str">
        <x:v>Yes</x:v>
      </x:c>
      <x:c r="O18" s="30" t="str">
        <x:v>Yes</x:v>
      </x:c>
      <x:c r="P18" s="30" t="str">
        <x:v>Indirect</x:v>
      </x:c>
      <x:c r="Q18" s="26" t="str">
        <x:v>Operational / expanding</x:v>
      </x:c>
      <x:c r="R18" s="26" t="str">
        <x:v>Active / operational</x:v>
      </x:c>
      <x:c r="S18" s="26" t="str">
        <x:v>Featured in Region II digital initiatives in 2025</x:v>
      </x:c>
      <x:c r="T18" s="26" t="str">
        <x:v>Direct agronomic value for nutrient management</x:v>
      </x:c>
      <x:c r="U18" s="26" t="str">
        <x:v>Sampling density, laboratory harmonization, uncertainty and update cycles</x:v>
      </x:c>
      <x:c r="V18" s="26" t="str">
        <x:v>Soil schemas, sampling dates, methods and uncertainty should be standardized</x:v>
      </x:c>
      <x:c r="W18" s="26" t="str">
        <x:v>Soil-data layer and advisory input</x:v>
      </x:c>
      <x:c r="X18" s="30" t="str">
        <x:v>High</x:v>
      </x:c>
      <x:c r="Y18" s="26" t="str">
        <x:v>Use common soil metadata and link maps to transparent recommendation rules</x:v>
      </x:c>
      <x:c r="Z18" s="32" t="str">
        <x:v>https://cagayanvalley.da.gov.ph/2025/07/10/technology-nutrition-and-innovation-a-3-in-1-celebration-of-digital-agriculture-national-nutrition-month-food-revolution-region-02-champouradu/</x:v>
      </x:c>
      <x:c r="AA18" s="32"/>
      <x:c r="AB18" s="30" t="str">
        <x:v>2026-07-11</x:v>
      </x:c>
      <x:c r="AC18" s="30" t="str">
        <x:v>High</x:v>
      </x:c>
      <x:c r="AD18" s="26"/>
      <x:c r="AE18" s="26" t="str">
        <x:v>Advisory &amp; e-extension; Precision agriculture, EO, drones &amp; IoT; Data infrastructure, interoperability &amp; dashboards</x:v>
      </x:c>
      <x:c r="AF18" s="26" t="str">
        <x:v>Advisory &amp; e-extension; Precision agriculture, EO, drones &amp; IoT; Inputs, seed &amp; nutrient tools; Data infrastructure, interoperability &amp; dashboards</x:v>
      </x:c>
      <x:c r="AG18" s="26" t="str">
        <x:v>Agriculture — general</x:v>
      </x:c>
      <x:c r="AH18" s="26" t="str">
        <x:v>Inputs, seed &amp; feed</x:v>
      </x:c>
      <x:c r="AI18" s="26" t="str">
        <x:v>Web / portal; Database / MIS; GIS / WebGIS</x:v>
      </x:c>
      <x:c r="AJ18" s="30" t="n">
        <x:f>IF(AF18="","",LEN(AF18)-LEN(SUBSTITUTE(AF18,";",""))+1)</x:f>
        <x:v>4</x:v>
      </x:c>
      <x:c r="AK18" s="26" t="str">
        <x:v>Not dedicated</x:v>
      </x:c>
    </x:row>
    <x:row r="19" ht="56" customHeight="1">
      <x:c r="A19" s="26" t="str">
        <x:v>D2-015</x:v>
      </x:c>
      <x:c r="B19" s="26" t="str">
        <x:v>Philippine Rice Information System</x:v>
      </x:c>
      <x:c r="C19" s="26" t="str">
        <x:v>PRISM</x:v>
      </x:c>
      <x:c r="D19" s="26" t="str">
        <x:v>DA-PhilRice, IRRI and Department of Agriculture</x:v>
      </x:c>
      <x:c r="E19" s="26" t="str">
        <x:v>Government–international partnership</x:v>
      </x:c>
      <x:c r="F19" s="26" t="str">
        <x:v>Rice</x:v>
      </x:c>
      <x:c r="G19" s="26" t="str">
        <x:v>National</x:v>
      </x:c>
      <x:c r="H19" s="26" t="str">
        <x:v>Production monitoring and planning</x:v>
      </x:c>
      <x:c r="I19" s="26" t="str">
        <x:v>Decision support / computer-enabled systems</x:v>
      </x:c>
      <x:c r="J19" s="26" t="str">
        <x:v>Precision agriculture, EO, drones &amp; IoT</x:v>
      </x:c>
      <x:c r="K19" s="26" t="str">
        <x:v>Uses remote sensing and crop modelling to monitor rice area, season and yield</x:v>
      </x:c>
      <x:c r="L19" s="26" t="str">
        <x:v>Satellite EO, GIS and analytics</x:v>
      </x:c>
      <x:c r="M19" s="26" t="str">
        <x:v>DA planners, rice managers and researchers</x:v>
      </x:c>
      <x:c r="N19" s="30" t="str">
        <x:v>Indirect</x:v>
      </x:c>
      <x:c r="O19" s="30" t="str">
        <x:v>Yes</x:v>
      </x:c>
      <x:c r="P19" s="30" t="str">
        <x:v>Indirect</x:v>
      </x:c>
      <x:c r="Q19" s="26" t="str">
        <x:v>Institutionalized</x:v>
      </x:c>
      <x:c r="R19" s="26" t="str">
        <x:v>Active / operational</x:v>
      </x:c>
      <x:c r="S19" s="26" t="str">
        <x:v>Recurring national rice-monitoring products</x:v>
      </x:c>
      <x:c r="T19" s="26" t="str">
        <x:v>Established national EO workflow</x:v>
      </x:c>
      <x:c r="U19" s="26" t="str">
        <x:v>Ground validation, cloud cover, timeliness and public data services</x:v>
      </x:c>
      <x:c r="V19" s="26" t="str">
        <x:v>High-value spatial feed; provenance, confidence and access rules are needed</x:v>
      </x:c>
      <x:c r="W19" s="26" t="str">
        <x:v>Rice EO monitoring feed</x:v>
      </x:c>
      <x:c r="X19" s="30" t="str">
        <x:v>High</x:v>
      </x:c>
      <x:c r="Y19" s="26" t="str">
        <x:v>Federate current layers with dates, confidence, methods and validation metadata</x:v>
      </x:c>
      <x:c r="Z19" s="32" t="str">
        <x:v>https://prism.philrice.gov.ph/</x:v>
      </x:c>
      <x:c r="AA19" s="32" t="str">
        <x:v>https://pidswebs.pids.gov.ph/CDN/document/pidsdps2329.pdf</x:v>
      </x:c>
      <x:c r="AB19" s="30" t="str">
        <x:v>2026-07-11</x:v>
      </x:c>
      <x:c r="AC19" s="30" t="str">
        <x:v>High</x:v>
      </x:c>
      <x:c r="AD19" s="26"/>
      <x:c r="AE19" s="26" t="str">
        <x:v>Farm management &amp; decision support; Data infrastructure, interoperability &amp; dashboards</x:v>
      </x:c>
      <x:c r="AF19" s="26" t="str">
        <x:v>Farm management &amp; decision support; Precision agriculture, EO, drones &amp; IoT; Data infrastructure, interoperability &amp; dashboards</x:v>
      </x:c>
      <x:c r="AG19" s="26" t="str">
        <x:v>Rice / palay</x:v>
      </x:c>
      <x:c r="AH19" s="26" t="str">
        <x:v>Production &amp; farm management</x:v>
      </x:c>
      <x:c r="AI19" s="26" t="str">
        <x:v>Database / MIS; Dashboard / analytics; GIS / WebGIS; Remote sensing / EO</x:v>
      </x:c>
      <x:c r="AJ19" s="30" t="n">
        <x:f>IF(AF19="","",LEN(AF19)-LEN(SUBSTITUTE(AF19,";",""))+1)</x:f>
        <x:v>3</x:v>
      </x:c>
      <x:c r="AK19" s="26" t="str">
        <x:v>Not dedicated</x:v>
      </x:c>
    </x:row>
    <x:row r="20" ht="56" customHeight="1">
      <x:c r="A20" s="26" t="str">
        <x:v>D2-016</x:v>
      </x:c>
      <x:c r="B20" s="26" t="str">
        <x:v>Pest and Disease Risk Identification and Management</x:v>
      </x:c>
      <x:c r="C20" s="26" t="str">
        <x:v>PRIME</x:v>
      </x:c>
      <x:c r="D20" s="26" t="str">
        <x:v>DA-PhilRice and partners</x:v>
      </x:c>
      <x:c r="E20" s="26" t="str">
        <x:v>Government–research partnership</x:v>
      </x:c>
      <x:c r="F20" s="26" t="str">
        <x:v>Rice</x:v>
      </x:c>
      <x:c r="G20" s="26" t="str">
        <x:v>National / pilot regions</x:v>
      </x:c>
      <x:c r="H20" s="26" t="str">
        <x:v>Crop protection and surveillance</x:v>
      </x:c>
      <x:c r="I20" s="26" t="str">
        <x:v>Decision support / computer-enabled systems</x:v>
      </x:c>
      <x:c r="J20" s="26" t="str">
        <x:v>Pest, disease &amp; biosecurity</x:v>
      </x:c>
      <x:c r="K20" s="26" t="str">
        <x:v>Forecasts and maps rice pest and disease risks using field, weather and spatial data</x:v>
      </x:c>
      <x:c r="L20" s="26" t="str">
        <x:v>Risk models, GIS and field surveillance</x:v>
      </x:c>
      <x:c r="M20" s="26" t="str">
        <x:v>DA, PhilRice, extension workers and farmers</x:v>
      </x:c>
      <x:c r="N20" s="30" t="str">
        <x:v>Yes</x:v>
      </x:c>
      <x:c r="O20" s="30" t="str">
        <x:v>Yes</x:v>
      </x:c>
      <x:c r="P20" s="30" t="str">
        <x:v>Indirect</x:v>
      </x:c>
      <x:c r="Q20" s="26" t="str">
        <x:v>Operational / expanding</x:v>
      </x:c>
      <x:c r="R20" s="26" t="str">
        <x:v>Active / operational</x:v>
      </x:c>
      <x:c r="S20" s="26" t="str">
        <x:v>Multi-year national rice pest-risk initiative</x:v>
      </x:c>
      <x:c r="T20" s="26" t="str">
        <x:v>Combines surveillance and anticipatory modelling</x:v>
      </x:c>
      <x:c r="U20" s="26" t="str">
        <x:v>Data continuity, thresholds, validation and action feedback</x:v>
      </x:c>
      <x:c r="V20" s="26" t="str">
        <x:v>Farm locations and pest observations need quality control and role-based access</x:v>
      </x:c>
      <x:c r="W20" s="26" t="str">
        <x:v>Pest-risk feed and validation loop</x:v>
      </x:c>
      <x:c r="X20" s="30" t="str">
        <x:v>High</x:v>
      </x:c>
      <x:c r="Y20" s="26" t="str">
        <x:v>Connect risk maps to mobile validation, alerts and intervention logs</x:v>
      </x:c>
      <x:c r="Z20" s="32" t="str">
        <x:v>https://www.philrice.gov.ph/prime/</x:v>
      </x:c>
      <x:c r="AA20" s="32" t="str">
        <x:v>https://pidswebs.pids.gov.ph/CDN/document/pidsdps2329.pdf</x:v>
      </x:c>
      <x:c r="AB20" s="30" t="str">
        <x:v>2026-07-11</x:v>
      </x:c>
      <x:c r="AC20" s="30" t="str">
        <x:v>High</x:v>
      </x:c>
      <x:c r="AD20" s="26"/>
      <x:c r="AE20" s="26" t="str">
        <x:v>Registry &amp; digital identity; Climate, weather &amp; early warning</x:v>
      </x:c>
      <x:c r="AF20" s="26" t="str">
        <x:v>Registry &amp; digital identity; Climate, weather &amp; early warning; Pest, disease &amp; biosecurity</x:v>
      </x:c>
      <x:c r="AG20" s="26" t="str">
        <x:v>Rice / palay</x:v>
      </x:c>
      <x:c r="AH20" s="26" t="str">
        <x:v>Animal/plant health &amp; biosecurity</x:v>
      </x:c>
      <x:c r="AI20" s="26" t="str">
        <x:v>GIS / WebGIS</x:v>
      </x:c>
      <x:c r="AJ20" s="30" t="n">
        <x:f>IF(AF20="","",LEN(AF20)-LEN(SUBSTITUTE(AF20,";",""))+1)</x:f>
        <x:v>3</x:v>
      </x:c>
      <x:c r="AK20" s="26" t="str">
        <x:v>Not dedicated</x:v>
      </x:c>
    </x:row>
    <x:row r="21" ht="56" customHeight="1">
      <x:c r="A21" s="26" t="str">
        <x:v>D2-017</x:v>
      </x:c>
      <x:c r="B21" s="26" t="str">
        <x:v>Smarter Approaches to Reinvigorate Agriculture as an Industry in the Philippines</x:v>
      </x:c>
      <x:c r="C21" s="26" t="str">
        <x:v>Project SARAi</x:v>
      </x:c>
      <x:c r="D21" s="26" t="str">
        <x:v>UP Los Baños and DOST-PCAARRD partners</x:v>
      </x:c>
      <x:c r="E21" s="26" t="str">
        <x:v>SUC / research consortium</x:v>
      </x:c>
      <x:c r="F21" s="26" t="str">
        <x:v>Multiple crops</x:v>
      </x:c>
      <x:c r="G21" s="26" t="str">
        <x:v>National / multi-region</x:v>
      </x:c>
      <x:c r="H21" s="26" t="str">
        <x:v>Planning, monitoring and advisory</x:v>
      </x:c>
      <x:c r="I21" s="26" t="str">
        <x:v>Decision support / computer-enabled systems</x:v>
      </x:c>
      <x:c r="J21" s="26" t="str">
        <x:v>Climate, weather &amp; early warning</x:v>
      </x:c>
      <x:c r="K21" s="26" t="str">
        <x:v>Provides crop suitability, drought, monitoring, yield and advisory products</x:v>
      </x:c>
      <x:c r="L21" s="26" t="str">
        <x:v>WebGIS, EO, modelling and mobile components</x:v>
      </x:c>
      <x:c r="M21" s="26" t="str">
        <x:v>Farmers, LGUs, planners and researchers</x:v>
      </x:c>
      <x:c r="N21" s="30" t="str">
        <x:v>Yes</x:v>
      </x:c>
      <x:c r="O21" s="30" t="str">
        <x:v>Yes</x:v>
      </x:c>
      <x:c r="P21" s="30" t="str">
        <x:v>Indirect</x:v>
      </x:c>
      <x:c r="Q21" s="26" t="str">
        <x:v>Expansion-ready / legacy project</x:v>
      </x:c>
      <x:c r="R21" s="26" t="str">
        <x:v>Active / operational</x:v>
      </x:c>
      <x:c r="S21" s="26" t="str">
        <x:v>National research program with multiple crop and climate products</x:v>
      </x:c>
      <x:c r="T21" s="26" t="str">
        <x:v>Broad technical portfolio and academe-government network</x:v>
      </x:c>
      <x:c r="U21" s="26" t="str">
        <x:v>Post-project maintenance, overlap, hosting and institutional ownership</x:v>
      </x:c>
      <x:c r="V21" s="26" t="str">
        <x:v>Services and licenses vary by component; versioning is essential</x:v>
      </x:c>
      <x:c r="W21" s="26" t="str">
        <x:v>Geospatial and advisory data hub</x:v>
      </x:c>
      <x:c r="X21" s="30" t="str">
        <x:v>High</x:v>
      </x:c>
      <x:c r="Y21" s="26" t="str">
        <x:v>Inventory maintained components and federate only current, documented services</x:v>
      </x:c>
      <x:c r="Z21" s="32" t="str">
        <x:v>https://sarai.ph/</x:v>
      </x:c>
      <x:c r="AA21" s="32" t="str">
        <x:v>https://www.irri.org/news-and-events/news/philippines-stakeholders-are-charting-future-digital-agriculture</x:v>
      </x:c>
      <x:c r="AB21" s="30" t="str">
        <x:v>2026-07-11</x:v>
      </x:c>
      <x:c r="AC21" s="30" t="str">
        <x:v>High</x:v>
      </x:c>
      <x:c r="AD21" s="26"/>
      <x:c r="AE21" s="26" t="str">
        <x:v>Advisory &amp; e-extension; Precision agriculture, EO, drones &amp; IoT</x:v>
      </x:c>
      <x:c r="AF21" s="26" t="str">
        <x:v>Advisory &amp; e-extension; Climate, weather &amp; early warning; Precision agriculture, EO, drones &amp; IoT</x:v>
      </x:c>
      <x:c r="AG21" s="26" t="str">
        <x:v>Cross-sector</x:v>
      </x:c>
      <x:c r="AH21" s="26" t="str">
        <x:v>Production &amp; farm management; Extension, training &amp; support</x:v>
      </x:c>
      <x:c r="AI21" s="26" t="str">
        <x:v>Web / portal; Mobile / Android</x:v>
      </x:c>
      <x:c r="AJ21" s="30" t="n">
        <x:f>IF(AF21="","",LEN(AF21)-LEN(SUBSTITUTE(AF21,";",""))+1)</x:f>
        <x:v>3</x:v>
      </x:c>
      <x:c r="AK21" s="26" t="str">
        <x:v>Not dedicated</x:v>
      </x:c>
    </x:row>
    <x:row r="22" ht="56" customHeight="1">
      <x:c r="A22" s="26" t="str">
        <x:v>D2-018</x:v>
      </x:c>
      <x:c r="B22" s="26" t="str">
        <x:v>Remote Sensing and Data Science Help Desk</x:v>
      </x:c>
      <x:c r="C22" s="26" t="str">
        <x:v>DATOS</x:v>
      </x:c>
      <x:c r="D22" s="26" t="str">
        <x:v>DOST-Advanced Science and Technology Institute</x:v>
      </x:c>
      <x:c r="E22" s="26" t="str">
        <x:v>National research institute</x:v>
      </x:c>
      <x:c r="F22" s="26" t="str">
        <x:v>Cross-sector including agriculture</x:v>
      </x:c>
      <x:c r="G22" s="26" t="str">
        <x:v>National</x:v>
      </x:c>
      <x:c r="H22" s="26" t="str">
        <x:v>Monitoring and analytics</x:v>
      </x:c>
      <x:c r="I22" s="26" t="str">
        <x:v>Decision support / computer-enabled systems</x:v>
      </x:c>
      <x:c r="J22" s="26" t="str">
        <x:v>Precision agriculture, EO, drones &amp; IoT</x:v>
      </x:c>
      <x:c r="K22" s="26" t="str">
        <x:v>Provides EO, AI and data-science services for government and research applications</x:v>
      </x:c>
      <x:c r="L22" s="26" t="str">
        <x:v>Remote sensing, HPC, AI and help desk</x:v>
      </x:c>
      <x:c r="M22" s="26" t="str">
        <x:v>Government agencies, researchers and industry</x:v>
      </x:c>
      <x:c r="N22" s="30" t="str">
        <x:v>Indirect</x:v>
      </x:c>
      <x:c r="O22" s="30" t="str">
        <x:v>Yes</x:v>
      </x:c>
      <x:c r="P22" s="30" t="str">
        <x:v>Indirect</x:v>
      </x:c>
      <x:c r="Q22" s="26" t="str">
        <x:v>Institutionalized</x:v>
      </x:c>
      <x:c r="R22" s="26" t="str">
        <x:v>Active / operational</x:v>
      </x:c>
      <x:c r="S22" s="26" t="str">
        <x:v>Multiple government and research applications</x:v>
      </x:c>
      <x:c r="T22" s="26" t="str">
        <x:v>National HPC and EO expertise</x:v>
      </x:c>
      <x:c r="U22" s="26" t="str">
        <x:v>Project-based continuity and conversion of models into maintained services</x:v>
      </x:c>
      <x:c r="V22" s="26" t="str">
        <x:v>Service APIs, licenses and service levels vary by project</x:v>
      </x:c>
      <x:c r="W22" s="26" t="str">
        <x:v>Analytics and EO service provider</x:v>
      </x:c>
      <x:c r="X22" s="30" t="str">
        <x:v>High</x:v>
      </x:c>
      <x:c r="Y22" s="26" t="str">
        <x:v>Create a maintained service registry with APIs, SLAs and access conditions</x:v>
      </x:c>
      <x:c r="Z22" s="32" t="str">
        <x:v>https://asti.dost.gov.ph/projects/datos/</x:v>
      </x:c>
      <x:c r="AA22" s="32" t="str">
        <x:v>https://pidswebs.pids.gov.ph/CDN/document/pidsdps2329.pdf</x:v>
      </x:c>
      <x:c r="AB22" s="30" t="str">
        <x:v>2026-07-11</x:v>
      </x:c>
      <x:c r="AC22" s="30" t="str">
        <x:v>High</x:v>
      </x:c>
      <x:c r="AD22" s="26"/>
      <x:c r="AE22" s="26" t="str">
        <x:v>Data infrastructure, interoperability &amp; dashboards</x:v>
      </x:c>
      <x:c r="AF22" s="26" t="str">
        <x:v>Precision agriculture, EO, drones &amp; IoT; Data infrastructure, interoperability &amp; dashboards</x:v>
      </x:c>
      <x:c r="AG22" s="26" t="str">
        <x:v>Cross-sector</x:v>
      </x:c>
      <x:c r="AH22" s="26" t="str">
        <x:v>R&amp;D, breeding &amp; genetic resources; Production &amp; farm management</x:v>
      </x:c>
      <x:c r="AI22" s="26" t="str">
        <x:v>Remote sensing / EO</x:v>
      </x:c>
      <x:c r="AJ22" s="30" t="n">
        <x:f>IF(AF22="","",LEN(AF22)-LEN(SUBSTITUTE(AF22,";",""))+1)</x:f>
        <x:v>2</x:v>
      </x:c>
      <x:c r="AK22" s="26" t="str">
        <x:v>Not dedicated</x:v>
      </x:c>
    </x:row>
    <x:row r="23" ht="56" customHeight="1">
      <x:c r="A23" s="26" t="str">
        <x:v>D2-019</x:v>
      </x:c>
      <x:c r="B23" s="26" t="str">
        <x:v>AI-Powered Weather Forecasting for a Resilient Philippines</x:v>
      </x:c>
      <x:c r="C23" s="26" t="str">
        <x:v>AI4RP</x:v>
      </x:c>
      <x:c r="D23" s="26" t="str">
        <x:v>DOST-ASTI, PAGASA and partners</x:v>
      </x:c>
      <x:c r="E23" s="26" t="str">
        <x:v>National government / R&amp;D partnership</x:v>
      </x:c>
      <x:c r="F23" s="26" t="str">
        <x:v>Weather and cross-sector</x:v>
      </x:c>
      <x:c r="G23" s="26" t="str">
        <x:v>National</x:v>
      </x:c>
      <x:c r="H23" s="26" t="str">
        <x:v>Climate information and planning</x:v>
      </x:c>
      <x:c r="I23" s="26" t="str">
        <x:v>Decision support / computer-enabled systems</x:v>
      </x:c>
      <x:c r="J23" s="26" t="str">
        <x:v>Climate, weather &amp; early warning</x:v>
      </x:c>
      <x:c r="K23" s="26" t="str">
        <x:v>Develops high-resolution AI-supported weather forecasting</x:v>
      </x:c>
      <x:c r="L23" s="26" t="str">
        <x:v>AI weather models, HPC and forecast services</x:v>
      </x:c>
      <x:c r="M23" s="26" t="str">
        <x:v>PAGASA, DRR offices, planners and public</x:v>
      </x:c>
      <x:c r="N23" s="30" t="str">
        <x:v>Indirect</x:v>
      </x:c>
      <x:c r="O23" s="30" t="str">
        <x:v>Yes</x:v>
      </x:c>
      <x:c r="P23" s="30" t="str">
        <x:v>Indirect</x:v>
      </x:c>
      <x:c r="Q23" s="26" t="str">
        <x:v>Development / deployment</x:v>
      </x:c>
      <x:c r="R23" s="26" t="str">
        <x:v>Project ongoing</x:v>
      </x:c>
      <x:c r="S23" s="26" t="str">
        <x:v>Official project period runs through September 2026</x:v>
      </x:c>
      <x:c r="T23" s="26" t="str">
        <x:v>National mandate and higher-resolution forecasting potential</x:v>
      </x:c>
      <x:c r="U23" s="26" t="str">
        <x:v>Operational validation, model governance and agriculture-specific last-mile use</x:v>
      </x:c>
      <x:c r="V23" s="26" t="str">
        <x:v>Future API potential; PAGASA should remain the authoritative warning source</x:v>
      </x:c>
      <x:c r="W23" s="26" t="str">
        <x:v>Weather model and forecast feed</x:v>
      </x:c>
      <x:c r="X23" s="30" t="str">
        <x:v>High</x:v>
      </x:c>
      <x:c r="Y23" s="26" t="str">
        <x:v>Prepare standards-based ingestion with provenance, model version and uncertainty</x:v>
      </x:c>
      <x:c r="Z23" s="32" t="str">
        <x:v>https://asti.dost.gov.ph/wp-content/uploads/ASTI-PPAs-2026-v2-FDL_17-June-26.pdf</x:v>
      </x:c>
      <x:c r="AA23" s="32" t="str">
        <x:v>https://www.pagasa.dost.gov.ph/</x:v>
      </x:c>
      <x:c r="AB23" s="30" t="str">
        <x:v>2026-07-11</x:v>
      </x:c>
      <x:c r="AC23" s="30" t="str">
        <x:v>High</x:v>
      </x:c>
      <x:c r="AD23" s="26"/>
      <x:c r="AE23" s="26" t="str"/>
      <x:c r="AF23" s="26" t="str">
        <x:v>Climate, weather &amp; early warning</x:v>
      </x:c>
      <x:c r="AG23" s="26" t="str">
        <x:v>Cross-sector</x:v>
      </x:c>
      <x:c r="AH23" s="26" t="str">
        <x:v>Cross-cutting</x:v>
      </x:c>
      <x:c r="AI23" s="26" t="str">
        <x:v>Digital service — unspecified stack</x:v>
      </x:c>
      <x:c r="AJ23" s="30" t="n">
        <x:f>IF(AF23="","",LEN(AF23)-LEN(SUBSTITUTE(AF23,";",""))+1)</x:f>
        <x:v>1</x:v>
      </x:c>
      <x:c r="AK23" s="26" t="str">
        <x:v>Not dedicated</x:v>
      </x:c>
    </x:row>
    <x:row r="24" ht="56" customHeight="1">
      <x:c r="A24" s="26" t="str">
        <x:v>D2-020</x:v>
      </x:c>
      <x:c r="B24" s="26" t="str">
        <x:v>Philippine Rice Statistics and Information System</x:v>
      </x:c>
      <x:c r="C24" s="26" t="str">
        <x:v>PalayStat</x:v>
      </x:c>
      <x:c r="D24" s="26" t="str">
        <x:v>DA-PhilRice</x:v>
      </x:c>
      <x:c r="E24" s="26" t="str">
        <x:v>National research institute</x:v>
      </x:c>
      <x:c r="F24" s="26" t="str">
        <x:v>Rice</x:v>
      </x:c>
      <x:c r="G24" s="26" t="str">
        <x:v>National</x:v>
      </x:c>
      <x:c r="H24" s="26" t="str">
        <x:v>Statistics and planning</x:v>
      </x:c>
      <x:c r="I24" s="26" t="str">
        <x:v>Information and advisory services</x:v>
      </x:c>
      <x:c r="J24" s="26" t="str">
        <x:v>Data infrastructure, interoperability &amp; dashboards</x:v>
      </x:c>
      <x:c r="K24" s="26" t="str">
        <x:v>Provides rice production, economic and sector statistics</x:v>
      </x:c>
      <x:c r="L24" s="26" t="str">
        <x:v>Web database and dashboards</x:v>
      </x:c>
      <x:c r="M24" s="26" t="str">
        <x:v>Researchers, policy makers and rice stakeholders</x:v>
      </x:c>
      <x:c r="N24" s="30" t="str">
        <x:v>Indirect</x:v>
      </x:c>
      <x:c r="O24" s="30" t="str">
        <x:v>Indirect</x:v>
      </x:c>
      <x:c r="P24" s="30" t="str">
        <x:v>Indirect</x:v>
      </x:c>
      <x:c r="Q24" s="26" t="str">
        <x:v>Operational</x:v>
      </x:c>
      <x:c r="R24" s="26" t="str">
        <x:v>Active / operational</x:v>
      </x:c>
      <x:c r="S24" s="26" t="str">
        <x:v>National rice-sector database</x:v>
      </x:c>
      <x:c r="T24" s="26" t="str">
        <x:v>Authoritative rice specialization</x:v>
      </x:c>
      <x:c r="U24" s="26" t="str">
        <x:v>Data freshness, metadata consistency and machine-readable access</x:v>
      </x:c>
      <x:c r="V24" s="26" t="str">
        <x:v>Methods, revisions and identifiers should align with PSA and PRISM</x:v>
      </x:c>
      <x:c r="W24" s="26" t="str">
        <x:v>Rice statistics feed</x:v>
      </x:c>
      <x:c r="X24" s="30" t="str">
        <x:v>High</x:v>
      </x:c>
      <x:c r="Y24" s="26" t="str">
        <x:v>Expose metadata-rich APIs and common geography/season identifiers</x:v>
      </x:c>
      <x:c r="Z24" s="32" t="str">
        <x:v>https://www.philrice.gov.ph/palaystat/</x:v>
      </x:c>
      <x:c r="AA24" s="32"/>
      <x:c r="AB24" s="30" t="str">
        <x:v>2026-07-11</x:v>
      </x:c>
      <x:c r="AC24" s="30" t="str">
        <x:v>High</x:v>
      </x:c>
      <x:c r="AD24" s="26"/>
      <x:c r="AE24" s="26" t="str">
        <x:v>Advisory &amp; e-extension</x:v>
      </x:c>
      <x:c r="AF24" s="26" t="str">
        <x:v>Advisory &amp; e-extension; Data infrastructure, interoperability &amp; dashboards</x:v>
      </x:c>
      <x:c r="AG24" s="26" t="str">
        <x:v>Rice / palay</x:v>
      </x:c>
      <x:c r="AH24" s="26" t="str">
        <x:v>Production &amp; farm management; Extension, training &amp; support</x:v>
      </x:c>
      <x:c r="AI24" s="26" t="str">
        <x:v>Web / portal; Database / MIS; Dashboard / analytics</x:v>
      </x:c>
      <x:c r="AJ24" s="30" t="n">
        <x:f>IF(AF24="","",LEN(AF24)-LEN(SUBSTITUTE(AF24,";",""))+1)</x:f>
        <x:v>2</x:v>
      </x:c>
      <x:c r="AK24" s="26" t="str">
        <x:v>Not dedicated</x:v>
      </x:c>
    </x:row>
    <x:row r="25" ht="56" customHeight="1">
      <x:c r="A25" s="26" t="str">
        <x:v>D2-021</x:v>
      </x:c>
      <x:c r="B25" s="26" t="str">
        <x:v>RiceLytics</x:v>
      </x:c>
      <x:c r="C25" s="26" t="str">
        <x:v>RiceLytics</x:v>
      </x:c>
      <x:c r="D25" s="26" t="str">
        <x:v>DA-PhilRice</x:v>
      </x:c>
      <x:c r="E25" s="26" t="str">
        <x:v>National research institute</x:v>
      </x:c>
      <x:c r="F25" s="26" t="str">
        <x:v>Rice</x:v>
      </x:c>
      <x:c r="G25" s="26" t="str">
        <x:v>National</x:v>
      </x:c>
      <x:c r="H25" s="26" t="str">
        <x:v>Analytics and planning</x:v>
      </x:c>
      <x:c r="I25" s="26" t="str">
        <x:v>Information and advisory services</x:v>
      </x:c>
      <x:c r="J25" s="26" t="str">
        <x:v>Data infrastructure, interoperability &amp; dashboards</x:v>
      </x:c>
      <x:c r="K25" s="26" t="str">
        <x:v>Interactive rice-sector analytics and visualization</x:v>
      </x:c>
      <x:c r="L25" s="26" t="str">
        <x:v>Web dashboard</x:v>
      </x:c>
      <x:c r="M25" s="26" t="str">
        <x:v>Policy makers, program managers and researchers</x:v>
      </x:c>
      <x:c r="N25" s="30" t="str">
        <x:v>Indirect</x:v>
      </x:c>
      <x:c r="O25" s="30" t="str">
        <x:v>Indirect</x:v>
      </x:c>
      <x:c r="P25" s="30" t="str">
        <x:v>Indirect</x:v>
      </x:c>
      <x:c r="Q25" s="26" t="str">
        <x:v>Operational</x:v>
      </x:c>
      <x:c r="R25" s="26" t="str">
        <x:v>Active / operational</x:v>
      </x:c>
      <x:c r="S25" s="26" t="str">
        <x:v>Publicly available national rice analytics platform</x:v>
      </x:c>
      <x:c r="T25" s="26" t="str">
        <x:v>Specialized integrated rice visualization</x:v>
      </x:c>
      <x:c r="U25" s="26" t="str">
        <x:v>Data refresh, duplicated indicators and API access</x:v>
      </x:c>
      <x:c r="V25" s="26" t="str">
        <x:v>Indicator definitions and revisions need transparent metadata</x:v>
      </x:c>
      <x:c r="W25" s="26" t="str">
        <x:v>Analytics module or embedded dashboard</x:v>
      </x:c>
      <x:c r="X25" s="30" t="str">
        <x:v>High</x:v>
      </x:c>
      <x:c r="Y25" s="26" t="str">
        <x:v>Federate or embed existing indicators rather than rebuilding them</x:v>
      </x:c>
      <x:c r="Z25" s="32" t="str">
        <x:v>https://ricelytics.philrice.gov.ph/</x:v>
      </x:c>
      <x:c r="AA25" s="32" t="str">
        <x:v>https://www.philrice.gov.ph/ricelytics/</x:v>
      </x:c>
      <x:c r="AB25" s="30" t="str">
        <x:v>2026-07-11</x:v>
      </x:c>
      <x:c r="AC25" s="30" t="str">
        <x:v>High</x:v>
      </x:c>
      <x:c r="AD25" s="26"/>
      <x:c r="AE25" s="26" t="str">
        <x:v>Advisory &amp; e-extension</x:v>
      </x:c>
      <x:c r="AF25" s="26" t="str">
        <x:v>Advisory &amp; e-extension; Data infrastructure, interoperability &amp; dashboards</x:v>
      </x:c>
      <x:c r="AG25" s="26" t="str">
        <x:v>Rice / palay</x:v>
      </x:c>
      <x:c r="AH25" s="26" t="str">
        <x:v>Extension, training &amp; support</x:v>
      </x:c>
      <x:c r="AI25" s="26" t="str">
        <x:v>Web / portal; Dashboard / analytics</x:v>
      </x:c>
      <x:c r="AJ25" s="30" t="n">
        <x:f>IF(AF25="","",LEN(AF25)-LEN(SUBSTITUTE(AF25,";",""))+1)</x:f>
        <x:v>2</x:v>
      </x:c>
      <x:c r="AK25" s="26" t="str">
        <x:v>Not dedicated</x:v>
      </x:c>
    </x:row>
    <x:row r="26" ht="56" customHeight="1">
      <x:c r="A26" s="26" t="str">
        <x:v>D2-022</x:v>
      </x:c>
      <x:c r="B26" s="26" t="str">
        <x:v>PhilRice Climate-Smart Maps</x:v>
      </x:c>
      <x:c r="C26" s="26" t="str">
        <x:v>Climate-Smart Maps</x:v>
      </x:c>
      <x:c r="D26" s="26" t="str">
        <x:v>DA-PhilRice</x:v>
      </x:c>
      <x:c r="E26" s="26" t="str">
        <x:v>National research institute</x:v>
      </x:c>
      <x:c r="F26" s="26" t="str">
        <x:v>Rice</x:v>
      </x:c>
      <x:c r="G26" s="26" t="str">
        <x:v>Selected provinces / expanding</x:v>
      </x:c>
      <x:c r="H26" s="26" t="str">
        <x:v>Planning and production</x:v>
      </x:c>
      <x:c r="I26" s="26" t="str">
        <x:v>Decision support / computer-enabled systems</x:v>
      </x:c>
      <x:c r="J26" s="26" t="str">
        <x:v>Climate, weather &amp; early warning</x:v>
      </x:c>
      <x:c r="K26" s="26" t="str">
        <x:v>Spatial decision support for climate-smart rice interventions</x:v>
      </x:c>
      <x:c r="L26" s="26" t="str">
        <x:v>WebGIS and maps</x:v>
      </x:c>
      <x:c r="M26" s="26" t="str">
        <x:v>Rice planners, LGUs and extension workers</x:v>
      </x:c>
      <x:c r="N26" s="30" t="str">
        <x:v>Indirect</x:v>
      </x:c>
      <x:c r="O26" s="30" t="str">
        <x:v>Yes</x:v>
      </x:c>
      <x:c r="P26" s="30" t="str">
        <x:v>Indirect</x:v>
      </x:c>
      <x:c r="Q26" s="26" t="str">
        <x:v>Operational / research-based</x:v>
      </x:c>
      <x:c r="R26" s="26" t="str">
        <x:v>Status unverified</x:v>
      </x:c>
      <x:c r="S26" s="26" t="str">
        <x:v>Referenced in national reviews and PhilRice data initiatives</x:v>
      </x:c>
      <x:c r="T26" s="26" t="str">
        <x:v>Direct rice and CSA orientation</x:v>
      </x:c>
      <x:c r="U26" s="26" t="str">
        <x:v>Current hosting, update frequency and local validation</x:v>
      </x:c>
      <x:c r="V26" s="26" t="str">
        <x:v>Layer provenance and recommendation rules are not publicly standardized</x:v>
      </x:c>
      <x:c r="W26" s="26" t="str">
        <x:v>CSA planning layer</x:v>
      </x:c>
      <x:c r="X26" s="30" t="str">
        <x:v>High</x:v>
      </x:c>
      <x:c r="Y26" s="26" t="str">
        <x:v>Verify maintained layers and link them to programs and field validation</x:v>
      </x:c>
      <x:c r="Z26" s="32" t="str">
        <x:v>https://pidswebs.pids.gov.ph/CDN/document/pidsdps2329.pdf</x:v>
      </x:c>
      <x:c r="AA26" s="32" t="str">
        <x:v>https://www.philrice.gov.ph/</x:v>
      </x:c>
      <x:c r="AB26" s="30" t="str">
        <x:v>2026-07-11</x:v>
      </x:c>
      <x:c r="AC26" s="30" t="str">
        <x:v>Medium</x:v>
      </x:c>
      <x:c r="AD26" s="26"/>
      <x:c r="AE26" s="26" t="str">
        <x:v>Precision agriculture, EO, drones &amp; IoT</x:v>
      </x:c>
      <x:c r="AF26" s="26" t="str">
        <x:v>Climate, weather &amp; early warning; Precision agriculture, EO, drones &amp; IoT</x:v>
      </x:c>
      <x:c r="AG26" s="26" t="str">
        <x:v>Rice / palay</x:v>
      </x:c>
      <x:c r="AH26" s="26" t="str">
        <x:v>Production &amp; farm management</x:v>
      </x:c>
      <x:c r="AI26" s="26" t="str">
        <x:v>Web / portal; GIS / WebGIS</x:v>
      </x:c>
      <x:c r="AJ26" s="30" t="n">
        <x:f>IF(AF26="","",LEN(AF26)-LEN(SUBSTITUTE(AF26,";",""))+1)</x:f>
        <x:v>2</x:v>
      </x:c>
      <x:c r="AK26" s="26" t="str">
        <x:v>Not dedicated</x:v>
      </x:c>
    </x:row>
    <x:row r="27" ht="56" customHeight="1">
      <x:c r="A27" s="26" t="str">
        <x:v>D2-023</x:v>
      </x:c>
      <x:c r="B27" s="26" t="str">
        <x:v>Rice Crop Manager Advisory Service</x:v>
      </x:c>
      <x:c r="C27" s="26" t="str">
        <x:v>RCMAS / RCM</x:v>
      </x:c>
      <x:c r="D27" s="26" t="str">
        <x:v>DA, IRRI, PhilRice and ATI</x:v>
      </x:c>
      <x:c r="E27" s="26" t="str">
        <x:v>Government–international partnership</x:v>
      </x:c>
      <x:c r="F27" s="26" t="str">
        <x:v>Rice</x:v>
      </x:c>
      <x:c r="G27" s="26" t="str">
        <x:v>National / widespread rollout</x:v>
      </x:c>
      <x:c r="H27" s="26" t="str">
        <x:v>Crop and nutrient management</x:v>
      </x:c>
      <x:c r="I27" s="26" t="str">
        <x:v>Information and advisory services</x:v>
      </x:c>
      <x:c r="J27" s="26" t="str">
        <x:v>Farm management &amp; decision support</x:v>
      </x:c>
      <x:c r="K27" s="26" t="str">
        <x:v>Generates field-specific rice crop and nutrient recommendations</x:v>
      </x:c>
      <x:c r="L27" s="26" t="str">
        <x:v>Web/mobile workflow, extension-mediated print and SMS</x:v>
      </x:c>
      <x:c r="M27" s="26" t="str">
        <x:v>Rice farmers and extension workers</x:v>
      </x:c>
      <x:c r="N27" s="30" t="str">
        <x:v>Yes</x:v>
      </x:c>
      <x:c r="O27" s="30" t="str">
        <x:v>Yes</x:v>
      </x:c>
      <x:c r="P27" s="30" t="str">
        <x:v>Yes</x:v>
      </x:c>
      <x:c r="Q27" s="26" t="str">
        <x:v>Institutionalized / scaled</x:v>
      </x:c>
      <x:c r="R27" s="26" t="str">
        <x:v>Active / transition / operational</x:v>
      </x:c>
      <x:c r="S27" s="26" t="str">
        <x:v>2.66 million recommendations reported for 2013–early 2021; estimated uptake about 30%</x:v>
      </x:c>
      <x:c r="T27" s="26" t="str">
        <x:v>Strong agronomic evidence base and extension integration</x:v>
      </x:c>
      <x:c r="U27" s="26" t="str">
        <x:v>Actual adoption, repeated use, data-entry burden and transition ownership</x:v>
      </x:c>
      <x:c r="V27" s="26" t="str">
        <x:v>Farm and location data require consent; referral/API access is not public</x:v>
      </x:c>
      <x:c r="W27" s="26" t="str">
        <x:v>Personalized advisory engine</x:v>
      </x:c>
      <x:c r="X27" s="30" t="str">
        <x:v>High</x:v>
      </x:c>
      <x:c r="Y27" s="26" t="str">
        <x:v>Integrate through consented referral or API and measure recommendation adoption and outcomes</x:v>
      </x:c>
      <x:c r="Z27" s="32" t="str">
        <x:v>https://phapps.irri.org/ph/ras/</x:v>
      </x:c>
      <x:c r="AA27" s="32" t="str">
        <x:v>https://pidswebs.pids.gov.ph/CDN/document/pidsdps2329.pdf</x:v>
      </x:c>
      <x:c r="AB27" s="30" t="str">
        <x:v>2026-07-11</x:v>
      </x:c>
      <x:c r="AC27" s="30" t="str">
        <x:v>High</x:v>
      </x:c>
      <x:c r="AD27" s="26"/>
      <x:c r="AE27" s="26" t="str">
        <x:v>Advisory &amp; e-extension; Inputs, seed &amp; nutrient tools</x:v>
      </x:c>
      <x:c r="AF27" s="26" t="str">
        <x:v>Advisory &amp; e-extension; Farm management &amp; decision support; Inputs, seed &amp; nutrient tools</x:v>
      </x:c>
      <x:c r="AG27" s="26" t="str">
        <x:v>Rice / palay</x:v>
      </x:c>
      <x:c r="AH27" s="26" t="str">
        <x:v>Inputs, seed &amp; feed; Production &amp; farm management; Extension, training &amp; support</x:v>
      </x:c>
      <x:c r="AI27" s="26" t="str">
        <x:v>Web / portal; Mobile / Android; SMS / text</x:v>
      </x:c>
      <x:c r="AJ27" s="30" t="n">
        <x:f>IF(AF27="","",LEN(AF27)-LEN(SUBSTITUTE(AF27,";",""))+1)</x:f>
        <x:v>3</x:v>
      </x:c>
      <x:c r="AK27" s="26" t="str">
        <x:v>Not dedicated</x:v>
      </x:c>
    </x:row>
    <x:row r="28" ht="56" customHeight="1">
      <x:c r="A28" s="26" t="str">
        <x:v>D2-024</x:v>
      </x:c>
      <x:c r="B28" s="26" t="str">
        <x:v>SeedCast</x:v>
      </x:c>
      <x:c r="C28" s="26" t="str">
        <x:v>SeedCast</x:v>
      </x:c>
      <x:c r="D28" s="26" t="str">
        <x:v>IRRI and Philippine partners</x:v>
      </x:c>
      <x:c r="E28" s="26" t="str">
        <x:v>International research partnership</x:v>
      </x:c>
      <x:c r="F28" s="26" t="str">
        <x:v>Rice seed systems</x:v>
      </x:c>
      <x:c r="G28" s="26" t="str">
        <x:v>Philippines / project areas</x:v>
      </x:c>
      <x:c r="H28" s="26" t="str">
        <x:v>Seed demand and distribution planning</x:v>
      </x:c>
      <x:c r="I28" s="26" t="str">
        <x:v>Decision support / computer-enabled systems</x:v>
      </x:c>
      <x:c r="J28" s="26" t="str">
        <x:v>Inputs, seed &amp; nutrient tools</x:v>
      </x:c>
      <x:c r="K28" s="26" t="str">
        <x:v>Supports forecasting and coordination of seed demand and distribution</x:v>
      </x:c>
      <x:c r="L28" s="26" t="str">
        <x:v>Analytics and planning tool</x:v>
      </x:c>
      <x:c r="M28" s="26" t="str">
        <x:v>Seed program managers, suppliers and planners</x:v>
      </x:c>
      <x:c r="N28" s="30" t="str">
        <x:v>Indirect</x:v>
      </x:c>
      <x:c r="O28" s="30" t="str">
        <x:v>Yes</x:v>
      </x:c>
      <x:c r="P28" s="30" t="str">
        <x:v>Indirect</x:v>
      </x:c>
      <x:c r="Q28" s="26" t="str">
        <x:v>Pilot / expanding</x:v>
      </x:c>
      <x:c r="R28" s="26" t="str">
        <x:v>Status unverified</x:v>
      </x:c>
      <x:c r="S28" s="26" t="str">
        <x:v>Mentioned in IRRI Philippine program reporting</x:v>
      </x:c>
      <x:c r="T28" s="26" t="str">
        <x:v>Targets a major seed-system coordination gap</x:v>
      </x:c>
      <x:c r="U28" s="26" t="str">
        <x:v>Current deployment, ownership, demand-data quality and procurement linkage</x:v>
      </x:c>
      <x:c r="V28" s="26" t="str">
        <x:v>Potential linkage with registries, inventories and climate forecasts</x:v>
      </x:c>
      <x:c r="W28" s="26" t="str">
        <x:v>Seed-planning analytics</x:v>
      </x:c>
      <x:c r="X28" s="30" t="str">
        <x:v>Medium</x:v>
      </x:c>
      <x:c r="Y28" s="26" t="str">
        <x:v>Validate current deployment and connect forecasts to certified-seed availability</x:v>
      </x:c>
      <x:c r="Z28" s="32" t="str">
        <x:v>https://www.irri.org/annual-report-2024</x:v>
      </x:c>
      <x:c r="AA28" s="32" t="str">
        <x:v>https://www.irri.org/news-and-events/news/da-bar-and-irri-launch-online-platform-ph-digital-ag-tools</x:v>
      </x:c>
      <x:c r="AB28" s="30" t="str">
        <x:v>2026-07-11</x:v>
      </x:c>
      <x:c r="AC28" s="30" t="str">
        <x:v>Medium</x:v>
      </x:c>
      <x:c r="AD28" s="26"/>
      <x:c r="AE28" s="26" t="str">
        <x:v>Climate, weather &amp; early warning; Data infrastructure, interoperability &amp; dashboards</x:v>
      </x:c>
      <x:c r="AF28" s="26" t="str">
        <x:v>Climate, weather &amp; early warning; Inputs, seed &amp; nutrient tools; Data infrastructure, interoperability &amp; dashboards</x:v>
      </x:c>
      <x:c r="AG28" s="26" t="str">
        <x:v>Rice / palay; Seeds / germplasm / breeds</x:v>
      </x:c>
      <x:c r="AH28" s="26" t="str">
        <x:v>Inputs, seed &amp; feed; Logistics &amp; distribution</x:v>
      </x:c>
      <x:c r="AI28" s="26" t="str">
        <x:v>Dashboard / analytics</x:v>
      </x:c>
      <x:c r="AJ28" s="30" t="n">
        <x:f>IF(AF28="","",LEN(AF28)-LEN(SUBSTITUTE(AF28,";",""))+1)</x:f>
        <x:v>3</x:v>
      </x:c>
      <x:c r="AK28" s="26" t="str">
        <x:v>Not dedicated</x:v>
      </x:c>
    </x:row>
    <x:row r="29" ht="56" customHeight="1">
      <x:c r="A29" s="26" t="str">
        <x:v>D2-025</x:v>
      </x:c>
      <x:c r="B29" s="26" t="str">
        <x:v>4DFarms</x:v>
      </x:c>
      <x:c r="C29" s="26" t="str">
        <x:v>4DFarms</x:v>
      </x:c>
      <x:c r="D29" s="26" t="str">
        <x:v>IRRI and DA partners</x:v>
      </x:c>
      <x:c r="E29" s="26" t="str">
        <x:v>Government–international partnership</x:v>
      </x:c>
      <x:c r="F29" s="26" t="str">
        <x:v>Rice</x:v>
      </x:c>
      <x:c r="G29" s="26" t="str">
        <x:v>Philippines / project sites</x:v>
      </x:c>
      <x:c r="H29" s="26" t="str">
        <x:v>Production, demonstration and extension</x:v>
      </x:c>
      <x:c r="I29" s="26" t="str">
        <x:v>Agricultural automation / smart farming</x:v>
      </x:c>
      <x:c r="J29" s="26" t="str">
        <x:v>Precision agriculture, EO, drones &amp; IoT</x:v>
      </x:c>
      <x:c r="K29" s="26" t="str">
        <x:v>Demonstrates digital and precision-farming technologies in field settings</x:v>
      </x:c>
      <x:c r="L29" s="26" t="str">
        <x:v>Integrated farm technology demonstrations</x:v>
      </x:c>
      <x:c r="M29" s="26" t="str">
        <x:v>Farmers, extension workers and providers</x:v>
      </x:c>
      <x:c r="N29" s="30" t="str">
        <x:v>Yes</x:v>
      </x:c>
      <x:c r="O29" s="30" t="str">
        <x:v>Yes</x:v>
      </x:c>
      <x:c r="P29" s="30" t="str">
        <x:v>Indirect</x:v>
      </x:c>
      <x:c r="Q29" s="26" t="str">
        <x:v>Pilot / demonstration</x:v>
      </x:c>
      <x:c r="R29" s="26" t="str">
        <x:v>Project ongoing</x:v>
      </x:c>
      <x:c r="S29" s="26" t="str">
        <x:v>Referenced in Philippine digital-agriculture program discussions</x:v>
      </x:c>
      <x:c r="T29" s="26" t="str">
        <x:v>Practical demonstration can reduce adoption uncertainty</x:v>
      </x:c>
      <x:c r="U29" s="26" t="str">
        <x:v>Package definition, affordability, service model and evidence beyond demonstrations</x:v>
      </x:c>
      <x:c r="V29" s="26" t="str">
        <x:v>Architecture and technology bundle are not publicly documented</x:v>
      </x:c>
      <x:c r="W29" s="26" t="str">
        <x:v>Demonstration and learning node</x:v>
      </x:c>
      <x:c r="X29" s="30" t="str">
        <x:v>Medium</x:v>
      </x:c>
      <x:c r="Y29" s="26" t="str">
        <x:v>Document technology packages, costs, outcomes and reusable implementation playbooks</x:v>
      </x:c>
      <x:c r="Z29" s="32" t="str">
        <x:v>https://www.irri.org/</x:v>
      </x:c>
      <x:c r="AA29" s="32" t="str">
        <x:v>https://www.irri.org/news-and-events/news/da-bar-and-irri-launch-online-platform-ph-digital-ag-tools</x:v>
      </x:c>
      <x:c r="AB29" s="30" t="str">
        <x:v>2026-07-11</x:v>
      </x:c>
      <x:c r="AC29" s="30" t="str">
        <x:v>Low</x:v>
      </x:c>
      <x:c r="AD29" s="26" t="str">
        <x:v>Detailed current project documentation should be obtained directly from IRRI and DA.</x:v>
      </x:c>
      <x:c r="AE29" s="26" t="str"/>
      <x:c r="AF29" s="26" t="str">
        <x:v>Precision agriculture, EO, drones &amp; IoT</x:v>
      </x:c>
      <x:c r="AG29" s="26" t="str">
        <x:v>Rice / palay</x:v>
      </x:c>
      <x:c r="AH29" s="26" t="str">
        <x:v>Production &amp; farm management; Extension, training &amp; support</x:v>
      </x:c>
      <x:c r="AI29" s="26" t="str">
        <x:v>Digital service — unspecified stack</x:v>
      </x:c>
      <x:c r="AJ29" s="30" t="n">
        <x:f>IF(AF29="","",LEN(AF29)-LEN(SUBSTITUTE(AF29,";",""))+1)</x:f>
        <x:v>1</x:v>
      </x:c>
      <x:c r="AK29" s="26" t="str">
        <x:v>Not dedicated</x:v>
      </x:c>
    </x:row>
    <x:row r="30" ht="56" customHeight="1">
      <x:c r="A30" s="26" t="str">
        <x:v>D2-026</x:v>
      </x:c>
      <x:c r="B30" s="26" t="str">
        <x:v>Scaling Rice Crop Manager</x:v>
      </x:c>
      <x:c r="C30" s="26" t="str">
        <x:v>Scale RCM</x:v>
      </x:c>
      <x:c r="D30" s="26" t="str">
        <x:v>IRRI, DA, ATI and partners</x:v>
      </x:c>
      <x:c r="E30" s="26" t="str">
        <x:v>Government–international partnership</x:v>
      </x:c>
      <x:c r="F30" s="26" t="str">
        <x:v>Rice</x:v>
      </x:c>
      <x:c r="G30" s="26" t="str">
        <x:v>Philippines / scale-out areas</x:v>
      </x:c>
      <x:c r="H30" s="26" t="str">
        <x:v>Extension and production</x:v>
      </x:c>
      <x:c r="I30" s="26" t="str">
        <x:v>Information and advisory services</x:v>
      </x:c>
      <x:c r="J30" s="26" t="str">
        <x:v>Farm management &amp; decision support</x:v>
      </x:c>
      <x:c r="K30" s="26" t="str">
        <x:v>Scales institutional delivery and use of Rice Crop Manager</x:v>
      </x:c>
      <x:c r="L30" s="26" t="str">
        <x:v>Digital advisory plus extension system</x:v>
      </x:c>
      <x:c r="M30" s="26" t="str">
        <x:v>Rice farmers and extension workers</x:v>
      </x:c>
      <x:c r="N30" s="30" t="str">
        <x:v>Yes</x:v>
      </x:c>
      <x:c r="O30" s="30" t="str">
        <x:v>Yes</x:v>
      </x:c>
      <x:c r="P30" s="30" t="str">
        <x:v>Yes</x:v>
      </x:c>
      <x:c r="Q30" s="26" t="str">
        <x:v>Scaling initiative</x:v>
      </x:c>
      <x:c r="R30" s="26" t="str">
        <x:v>Project ongoing</x:v>
      </x:c>
      <x:c r="S30" s="26" t="str">
        <x:v>Referenced in IRRI Philippine program communications</x:v>
      </x:c>
      <x:c r="T30" s="26" t="str">
        <x:v>Builds on an established advisory engine</x:v>
      </x:c>
      <x:c r="U30" s="26" t="str">
        <x:v>Sustained delivery cost, ownership, adoption tracking and feedback</x:v>
      </x:c>
      <x:c r="V30" s="26" t="str">
        <x:v>Dependent on RCM architecture and governance</x:v>
      </x:c>
      <x:c r="W30" s="26" t="str">
        <x:v>Scaling implementation model</x:v>
      </x:c>
      <x:c r="X30" s="30" t="str">
        <x:v>High</x:v>
      </x:c>
      <x:c r="Y30" s="26" t="str">
        <x:v>Use as a reference case for SINAG adoption analytics and extension integration</x:v>
      </x:c>
      <x:c r="Z30" s="32" t="str">
        <x:v>https://www.irri.org/</x:v>
      </x:c>
      <x:c r="AA30" s="32" t="str">
        <x:v>https://www.irri.org/news-and-events/news/da-bar-and-irri-launch-online-platform-ph-digital-ag-tools</x:v>
      </x:c>
      <x:c r="AB30" s="30" t="str">
        <x:v>2026-07-11</x:v>
      </x:c>
      <x:c r="AC30" s="30" t="str">
        <x:v>Low</x:v>
      </x:c>
      <x:c r="AD30" s="26" t="str">
        <x:v>Detailed current project documentation was not publicly located.</x:v>
      </x:c>
      <x:c r="AE30" s="26" t="str">
        <x:v>Advisory &amp; e-extension</x:v>
      </x:c>
      <x:c r="AF30" s="26" t="str">
        <x:v>Advisory &amp; e-extension; Farm management &amp; decision support</x:v>
      </x:c>
      <x:c r="AG30" s="26" t="str">
        <x:v>Rice / palay</x:v>
      </x:c>
      <x:c r="AH30" s="26" t="str">
        <x:v>Production &amp; farm management; Logistics &amp; distribution; Extension, training &amp; support</x:v>
      </x:c>
      <x:c r="AI30" s="26" t="str">
        <x:v>Digital service — unspecified stack</x:v>
      </x:c>
      <x:c r="AJ30" s="30" t="n">
        <x:f>IF(AF30="","",LEN(AF30)-LEN(SUBSTITUTE(AF30,";",""))+1)</x:f>
        <x:v>2</x:v>
      </x:c>
      <x:c r="AK30" s="26" t="str">
        <x:v>Not dedicated</x:v>
      </x:c>
    </x:row>
    <x:row r="31" ht="56" customHeight="1">
      <x:c r="A31" s="26" t="str">
        <x:v>D2-027</x:v>
      </x:c>
      <x:c r="B31" s="26" t="str">
        <x:v>Drones4Rice</x:v>
      </x:c>
      <x:c r="C31" s="26" t="str">
        <x:v>Drones4Rice</x:v>
      </x:c>
      <x:c r="D31" s="26" t="str">
        <x:v>IRRI, DA-PhilRice, DA-BAR, regulators and providers</x:v>
      </x:c>
      <x:c r="E31" s="26" t="str">
        <x:v>Government–international–private partnership</x:v>
      </x:c>
      <x:c r="F31" s="26" t="str">
        <x:v>Rice</x:v>
      </x:c>
      <x:c r="G31" s="26" t="str">
        <x:v>Pilot regions / national scaling intent</x:v>
      </x:c>
      <x:c r="H31" s="26" t="str">
        <x:v>Production, mechanization and crop monitoring</x:v>
      </x:c>
      <x:c r="I31" s="26" t="str">
        <x:v>Agricultural automation / smart farming</x:v>
      </x:c>
      <x:c r="J31" s="26" t="str">
        <x:v>Precision agriculture, EO, drones &amp; IoT</x:v>
      </x:c>
      <x:c r="K31" s="26" t="str">
        <x:v>Develops protocols for drone seeding, spraying, mapping and cluster services</x:v>
      </x:c>
      <x:c r="L31" s="26" t="str">
        <x:v>Agricultural drones, mapping and operating protocols</x:v>
      </x:c>
      <x:c r="M31" s="26" t="str">
        <x:v>Farmers, FCAs, providers and regulators</x:v>
      </x:c>
      <x:c r="N31" s="30" t="str">
        <x:v>Yes</x:v>
      </x:c>
      <x:c r="O31" s="30" t="str">
        <x:v>Yes</x:v>
      </x:c>
      <x:c r="P31" s="30" t="str">
        <x:v>Yes</x:v>
      </x:c>
      <x:c r="Q31" s="26" t="str">
        <x:v>Pilot / protocol development</x:v>
      </x:c>
      <x:c r="R31" s="26" t="str">
        <x:v>Project ongoing</x:v>
      </x:c>
      <x:c r="S31" s="26" t="str">
        <x:v>Launched April 2024 with DA regions, regulators and private providers</x:v>
      </x:c>
      <x:c r="T31" s="26" t="str">
        <x:v>Multi-stakeholder design and explicit scaling intent</x:v>
      </x:c>
      <x:c r="U31" s="26" t="str">
        <x:v>Cost, regulation, liability, calibration, skills and fragmented farms</x:v>
      </x:c>
      <x:c r="V31" s="26" t="str">
        <x:v>Flight logs, service records and maps need common standards and ownership rules</x:v>
      </x:c>
      <x:c r="W31" s="26" t="str">
        <x:v>Drone-service standards and data feed</x:v>
      </x:c>
      <x:c r="X31" s="30" t="str">
        <x:v>High</x:v>
      </x:c>
      <x:c r="Y31" s="26" t="str">
        <x:v>Register accredited providers and standardize service, safety, application and map records</x:v>
      </x:c>
      <x:c r="Z31" s="32" t="str">
        <x:v>https://www.irri.org/news-and-events/news/irri-philrice-launch-drone-protocols-boost-rice-farming-philippines</x:v>
      </x:c>
      <x:c r="AA31" s="32"/>
      <x:c r="AB31" s="30" t="str">
        <x:v>2026-07-11</x:v>
      </x:c>
      <x:c r="AC31" s="30" t="str">
        <x:v>High</x:v>
      </x:c>
      <x:c r="AD31" s="26"/>
      <x:c r="AE31" s="26" t="str">
        <x:v>Inputs, seed &amp; nutrient tools; Mechanization &amp; equipment-as-a-service</x:v>
      </x:c>
      <x:c r="AF31" s="26" t="str">
        <x:v>Precision agriculture, EO, drones &amp; IoT; Inputs, seed &amp; nutrient tools; Mechanization &amp; equipment-as-a-service</x:v>
      </x:c>
      <x:c r="AG31" s="26" t="str">
        <x:v>Rice / palay; Seeds / germplasm / breeds</x:v>
      </x:c>
      <x:c r="AH31" s="26" t="str">
        <x:v>Inputs, seed &amp; feed; Production &amp; farm management</x:v>
      </x:c>
      <x:c r="AI31" s="26" t="str">
        <x:v>GIS / WebGIS; UAV / drone</x:v>
      </x:c>
      <x:c r="AJ31" s="30" t="n">
        <x:f>IF(AF31="","",LEN(AF31)-LEN(SUBSTITUTE(AF31,";",""))+1)</x:f>
        <x:v>3</x:v>
      </x:c>
      <x:c r="AK31" s="26" t="str">
        <x:v>Not dedicated</x:v>
      </x:c>
    </x:row>
    <x:row r="32" ht="56" customHeight="1">
      <x:c r="A32" s="26" t="str">
        <x:v>D2-028</x:v>
      </x:c>
      <x:c r="B32" s="26" t="str">
        <x:v>Binhing Palay</x:v>
      </x:c>
      <x:c r="C32" s="26" t="str">
        <x:v>Binhing Palay</x:v>
      </x:c>
      <x:c r="D32" s="26" t="str">
        <x:v>DA-PhilRice</x:v>
      </x:c>
      <x:c r="E32" s="26" t="str">
        <x:v>National research institute</x:v>
      </x:c>
      <x:c r="F32" s="26" t="str">
        <x:v>Rice</x:v>
      </x:c>
      <x:c r="G32" s="26" t="str">
        <x:v>National</x:v>
      </x:c>
      <x:c r="H32" s="26" t="str">
        <x:v>Seed and variety selection</x:v>
      </x:c>
      <x:c r="I32" s="26" t="str">
        <x:v>Information and advisory services</x:v>
      </x:c>
      <x:c r="J32" s="26" t="str">
        <x:v>Inputs, seed &amp; nutrient tools</x:v>
      </x:c>
      <x:c r="K32" s="26" t="str">
        <x:v>Catalog of rice varieties, characteristics and selection information</x:v>
      </x:c>
      <x:c r="L32" s="26" t="str">
        <x:v>Android app with offline use</x:v>
      </x:c>
      <x:c r="M32" s="26" t="str">
        <x:v>Farmers, extension workers and seed growers</x:v>
      </x:c>
      <x:c r="N32" s="30" t="str">
        <x:v>Yes</x:v>
      </x:c>
      <x:c r="O32" s="30" t="str">
        <x:v>Yes</x:v>
      </x:c>
      <x:c r="P32" s="30" t="str">
        <x:v>Indirect</x:v>
      </x:c>
      <x:c r="Q32" s="26" t="str">
        <x:v>Operational</x:v>
      </x:c>
      <x:c r="R32" s="26" t="str">
        <x:v>Active / operational</x:v>
      </x:c>
      <x:c r="S32" s="26" t="str">
        <x:v>Google Play listing updated June 2026</x:v>
      </x:c>
      <x:c r="T32" s="26" t="str">
        <x:v>Focused use case and offline access</x:v>
      </x:c>
      <x:c r="U32" s="26" t="str">
        <x:v>Keeping variety, suitability and certified-seed availability current</x:v>
      </x:c>
      <x:c r="V32" s="26" t="str">
        <x:v>No public API; app data and content versioning should be documented</x:v>
      </x:c>
      <x:c r="W32" s="26" t="str">
        <x:v>Seed-information module</x:v>
      </x:c>
      <x:c r="X32" s="30" t="str">
        <x:v>High</x:v>
      </x:c>
      <x:c r="Y32" s="26" t="str">
        <x:v>Link varieties to suitability, verified suppliers and farmer feedback</x:v>
      </x:c>
      <x:c r="Z32" s="32" t="str">
        <x:v>https://play.google.com/store/apps/details?id=ph.gov.philrice.binhi</x:v>
      </x:c>
      <x:c r="AA32" s="32" t="str">
        <x:v>https://ati2.da.gov.ph/ati-car/content/article/bongbong-l-buli-e/digital-dawn-kalinga-rice-farmers-undergo-farm-learn-digital-technology</x:v>
      </x:c>
      <x:c r="AB32" s="30" t="str">
        <x:v>2026-07-11</x:v>
      </x:c>
      <x:c r="AC32" s="30" t="str">
        <x:v>High</x:v>
      </x:c>
      <x:c r="AD32" s="26"/>
      <x:c r="AE32" s="26" t="str">
        <x:v>Advisory &amp; e-extension</x:v>
      </x:c>
      <x:c r="AF32" s="26" t="str">
        <x:v>Advisory &amp; e-extension; Inputs, seed &amp; nutrient tools</x:v>
      </x:c>
      <x:c r="AG32" s="26" t="str">
        <x:v>Rice / palay; Seeds / germplasm / breeds</x:v>
      </x:c>
      <x:c r="AH32" s="26" t="str">
        <x:v>Inputs, seed &amp; feed; Extension, training &amp; support</x:v>
      </x:c>
      <x:c r="AI32" s="26" t="str">
        <x:v>Mobile / Android; Offline-capable</x:v>
      </x:c>
      <x:c r="AJ32" s="30" t="n">
        <x:f>IF(AF32="","",LEN(AF32)-LEN(SUBSTITUTE(AF32,";",""))+1)</x:f>
        <x:v>2</x:v>
      </x:c>
      <x:c r="AK32" s="26" t="str">
        <x:v>Not dedicated</x:v>
      </x:c>
    </x:row>
    <x:row r="33" ht="56" customHeight="1">
      <x:c r="A33" s="26" t="str">
        <x:v>D2-029</x:v>
      </x:c>
      <x:c r="B33" s="26" t="str">
        <x:v>e-Damuhan</x:v>
      </x:c>
      <x:c r="C33" s="26" t="str">
        <x:v>e-Damuhan</x:v>
      </x:c>
      <x:c r="D33" s="26" t="str">
        <x:v>DA-PhilRice</x:v>
      </x:c>
      <x:c r="E33" s="26" t="str">
        <x:v>National research institute</x:v>
      </x:c>
      <x:c r="F33" s="26" t="str">
        <x:v>Rice</x:v>
      </x:c>
      <x:c r="G33" s="26" t="str">
        <x:v>National</x:v>
      </x:c>
      <x:c r="H33" s="26" t="str">
        <x:v>Weed identification and crop protection</x:v>
      </x:c>
      <x:c r="I33" s="26" t="str">
        <x:v>Information and advisory services</x:v>
      </x:c>
      <x:c r="J33" s="26" t="str">
        <x:v>Pest, disease &amp; biosecurity</x:v>
      </x:c>
      <x:c r="K33" s="26" t="str">
        <x:v>Offline image-assisted identification of rice weeds and management information</x:v>
      </x:c>
      <x:c r="L33" s="26" t="str">
        <x:v>Android app, image recognition and offline library</x:v>
      </x:c>
      <x:c r="M33" s="26" t="str">
        <x:v>Farmers and extension workers</x:v>
      </x:c>
      <x:c r="N33" s="30" t="str">
        <x:v>Yes</x:v>
      </x:c>
      <x:c r="O33" s="30" t="str">
        <x:v>Yes</x:v>
      </x:c>
      <x:c r="P33" s="30" t="str">
        <x:v>Indirect</x:v>
      </x:c>
      <x:c r="Q33" s="26" t="str">
        <x:v>Operational</x:v>
      </x:c>
      <x:c r="R33" s="26" t="str">
        <x:v>Active / operational</x:v>
      </x:c>
      <x:c r="S33" s="26" t="str">
        <x:v>10,000+ downloads; app updated January 2024</x:v>
      </x:c>
      <x:c r="T33" s="26" t="str">
        <x:v>Offline diagnostic value and clear scope</x:v>
      </x:c>
      <x:c r="U33" s="26" t="str">
        <x:v>Image quality, model/library updates, confidence and safe advice</x:v>
      </x:c>
      <x:c r="V33" s="26" t="str">
        <x:v>Images and optional metadata need transparent storage and upload rules</x:v>
      </x:c>
      <x:c r="W33" s="26" t="str">
        <x:v>Diagnostic module and validation feed</x:v>
      </x:c>
      <x:c r="X33" s="30" t="str">
        <x:v>High</x:v>
      </x:c>
      <x:c r="Y33" s="26" t="str">
        <x:v>Expose taxonomy, confidence and expert escalation; collect consented validation labels</x:v>
      </x:c>
      <x:c r="Z33" s="32" t="str">
        <x:v>https://play.google.com/store/apps/details?id=ph.gov.philrice.edamuhan</x:v>
      </x:c>
      <x:c r="AA33" s="32" t="str">
        <x:v>https://ati2.da.gov.ph/ati-car/content/article/bongbong-l-buli-e/digital-dawn-kalinga-rice-farmers-undergo-farm-learn-digital-technology</x:v>
      </x:c>
      <x:c r="AB33" s="30" t="str">
        <x:v>2026-07-11</x:v>
      </x:c>
      <x:c r="AC33" s="30" t="str">
        <x:v>High</x:v>
      </x:c>
      <x:c r="AD33" s="26"/>
      <x:c r="AE33" s="26" t="str">
        <x:v>Registry &amp; digital identity; Advisory &amp; e-extension</x:v>
      </x:c>
      <x:c r="AF33" s="26" t="str">
        <x:v>Registry &amp; digital identity; Advisory &amp; e-extension; Pest, disease &amp; biosecurity</x:v>
      </x:c>
      <x:c r="AG33" s="26" t="str">
        <x:v>Rice / palay</x:v>
      </x:c>
      <x:c r="AH33" s="26" t="str">
        <x:v>Registration &amp; identity; Animal/plant health &amp; biosecurity; Extension, training &amp; support</x:v>
      </x:c>
      <x:c r="AI33" s="26" t="str">
        <x:v>Mobile / Android; Offline-capable</x:v>
      </x:c>
      <x:c r="AJ33" s="30" t="n">
        <x:f>IF(AF33="","",LEN(AF33)-LEN(SUBSTITUTE(AF33,";",""))+1)</x:f>
        <x:v>3</x:v>
      </x:c>
      <x:c r="AK33" s="26" t="str">
        <x:v>Not dedicated</x:v>
      </x:c>
    </x:row>
    <x:row r="34" ht="56" customHeight="1">
      <x:c r="A34" s="26" t="str">
        <x:v>D2-030</x:v>
      </x:c>
      <x:c r="B34" s="26" t="str">
        <x:v>Minus-One Element Technique App</x:v>
      </x:c>
      <x:c r="C34" s="26" t="str">
        <x:v>MOET App</x:v>
      </x:c>
      <x:c r="D34" s="26" t="str">
        <x:v>DA-PhilRice</x:v>
      </x:c>
      <x:c r="E34" s="26" t="str">
        <x:v>National research institute</x:v>
      </x:c>
      <x:c r="F34" s="26" t="str">
        <x:v>Rice</x:v>
      </x:c>
      <x:c r="G34" s="26" t="str">
        <x:v>National</x:v>
      </x:c>
      <x:c r="H34" s="26" t="str">
        <x:v>Nutrient management</x:v>
      </x:c>
      <x:c r="I34" s="26" t="str">
        <x:v>Information and advisory services</x:v>
      </x:c>
      <x:c r="J34" s="26" t="str">
        <x:v>Inputs, seed &amp; nutrient tools</x:v>
      </x:c>
      <x:c r="K34" s="26" t="str">
        <x:v>Supports nutrient-deficiency diagnosis, fertilizer needs and yield prediction</x:v>
      </x:c>
      <x:c r="L34" s="26" t="str">
        <x:v>Android app</x:v>
      </x:c>
      <x:c r="M34" s="26" t="str">
        <x:v>Farmers and extension workers</x:v>
      </x:c>
      <x:c r="N34" s="30" t="str">
        <x:v>Yes</x:v>
      </x:c>
      <x:c r="O34" s="30" t="str">
        <x:v>Yes</x:v>
      </x:c>
      <x:c r="P34" s="30" t="str">
        <x:v>Yes</x:v>
      </x:c>
      <x:c r="Q34" s="26" t="str">
        <x:v>Operational</x:v>
      </x:c>
      <x:c r="R34" s="26" t="str">
        <x:v>Active / operational</x:v>
      </x:c>
      <x:c r="S34" s="26" t="str">
        <x:v>Google Play listing updated September 2024</x:v>
      </x:c>
      <x:c r="T34" s="26" t="str">
        <x:v>Digitizes a proven field nutrient-diagnosis technique</x:v>
      </x:c>
      <x:c r="U34" s="26" t="str">
        <x:v>Sampling quality, user training and linkage to field records</x:v>
      </x:c>
      <x:c r="V34" s="26" t="str">
        <x:v>Farm and input data require consent and portable records</x:v>
      </x:c>
      <x:c r="W34" s="26" t="str">
        <x:v>Nutrient-advisory module</x:v>
      </x:c>
      <x:c r="X34" s="30" t="str">
        <x:v>High</x:v>
      </x:c>
      <x:c r="Y34" s="26" t="str">
        <x:v>Link recommendations to field history, products, cost and environmental indicators</x:v>
      </x:c>
      <x:c r="Z34" s="32" t="str">
        <x:v>https://play.google.com/store/apps/details?id=com.PhilRice.moetappv3.o</x:v>
      </x:c>
      <x:c r="AA34" s="32" t="str">
        <x:v>https://ati2.da.gov.ph/ati-car/content/article/bongbong-l-buli-e/digital-dawn-kalinga-rice-farmers-undergo-farm-learn-digital-technology</x:v>
      </x:c>
      <x:c r="AB34" s="30" t="str">
        <x:v>2026-07-11</x:v>
      </x:c>
      <x:c r="AC34" s="30" t="str">
        <x:v>High</x:v>
      </x:c>
      <x:c r="AD34" s="26"/>
      <x:c r="AE34" s="26" t="str">
        <x:v>Advisory &amp; e-extension; Pest, disease &amp; biosecurity</x:v>
      </x:c>
      <x:c r="AF34" s="26" t="str">
        <x:v>Advisory &amp; e-extension; Pest, disease &amp; biosecurity; Inputs, seed &amp; nutrient tools</x:v>
      </x:c>
      <x:c r="AG34" s="26" t="str">
        <x:v>Rice / palay</x:v>
      </x:c>
      <x:c r="AH34" s="26" t="str">
        <x:v>Inputs, seed &amp; feed; Animal/plant health &amp; biosecurity; Extension, training &amp; support</x:v>
      </x:c>
      <x:c r="AI34" s="26" t="str">
        <x:v>Mobile / Android</x:v>
      </x:c>
      <x:c r="AJ34" s="30" t="n">
        <x:f>IF(AF34="","",LEN(AF34)-LEN(SUBSTITUTE(AF34,";",""))+1)</x:f>
        <x:v>3</x:v>
      </x:c>
      <x:c r="AK34" s="26" t="str">
        <x:v>Not dedicated</x:v>
      </x:c>
    </x:row>
    <x:row r="35" ht="56" customHeight="1">
      <x:c r="A35" s="26" t="str">
        <x:v>D2-031</x:v>
      </x:c>
      <x:c r="B35" s="26" t="str">
        <x:v>Leaf Color Chart App Pro</x:v>
      </x:c>
      <x:c r="C35" s="26" t="str">
        <x:v>LCC App Pro</x:v>
      </x:c>
      <x:c r="D35" s="26" t="str">
        <x:v>DA-PhilRice</x:v>
      </x:c>
      <x:c r="E35" s="26" t="str">
        <x:v>National research institute</x:v>
      </x:c>
      <x:c r="F35" s="26" t="str">
        <x:v>Rice</x:v>
      </x:c>
      <x:c r="G35" s="26" t="str">
        <x:v>National</x:v>
      </x:c>
      <x:c r="H35" s="26" t="str">
        <x:v>Nitrogen management</x:v>
      </x:c>
      <x:c r="I35" s="26" t="str">
        <x:v>Information and advisory services</x:v>
      </x:c>
      <x:c r="J35" s="26" t="str">
        <x:v>Inputs, seed &amp; nutrient tools</x:v>
      </x:c>
      <x:c r="K35" s="26" t="str">
        <x:v>Provides real-time nitrogen recommendations from leaf-color assessment</x:v>
      </x:c>
      <x:c r="L35" s="26" t="str">
        <x:v>Android app and camera-assisted assessment</x:v>
      </x:c>
      <x:c r="M35" s="26" t="str">
        <x:v>Rice farmers and extension workers</x:v>
      </x:c>
      <x:c r="N35" s="30" t="str">
        <x:v>Yes</x:v>
      </x:c>
      <x:c r="O35" s="30" t="str">
        <x:v>Yes</x:v>
      </x:c>
      <x:c r="P35" s="30" t="str">
        <x:v>Yes</x:v>
      </x:c>
      <x:c r="Q35" s="26" t="str">
        <x:v>Operational</x:v>
      </x:c>
      <x:c r="R35" s="26" t="str">
        <x:v>Active / operational</x:v>
      </x:c>
      <x:c r="S35" s="26" t="str">
        <x:v>Google Play listing updated March 2023</x:v>
      </x:c>
      <x:c r="T35" s="26" t="str">
        <x:v>Simple decision point tied to nitrogen-use efficiency</x:v>
      </x:c>
      <x:c r="U35" s="26" t="str">
        <x:v>Calibration across devices, lighting and user technique</x:v>
      </x:c>
      <x:c r="V35" s="26" t="str">
        <x:v>Images and field records need privacy and calibration metadata</x:v>
      </x:c>
      <x:c r="W35" s="26" t="str">
        <x:v>Nitrogen-advisory module</x:v>
      </x:c>
      <x:c r="X35" s="30" t="str">
        <x:v>High</x:v>
      </x:c>
      <x:c r="Y35" s="26" t="str">
        <x:v>Standardize calibration, confidence and fertilizer-record integration</x:v>
      </x:c>
      <x:c r="Z35" s="32" t="str">
        <x:v>https://play.google.com/store/apps/details?id=ph.gov.philrice.lcc.pro</x:v>
      </x:c>
      <x:c r="AA35" s="32" t="str">
        <x:v>https://ati2.da.gov.ph/ati-car/content/article/bongbong-l-buli-e/digital-dawn-kalinga-rice-farmers-undergo-farm-learn-digital-technology</x:v>
      </x:c>
      <x:c r="AB35" s="30" t="str">
        <x:v>2026-07-11</x:v>
      </x:c>
      <x:c r="AC35" s="30" t="str">
        <x:v>High</x:v>
      </x:c>
      <x:c r="AD35" s="26"/>
      <x:c r="AE35" s="26" t="str">
        <x:v>Advisory &amp; e-extension</x:v>
      </x:c>
      <x:c r="AF35" s="26" t="str">
        <x:v>Advisory &amp; e-extension; Inputs, seed &amp; nutrient tools</x:v>
      </x:c>
      <x:c r="AG35" s="26" t="str">
        <x:v>Rice / palay</x:v>
      </x:c>
      <x:c r="AH35" s="26" t="str">
        <x:v>Inputs, seed &amp; feed; Extension, training &amp; support</x:v>
      </x:c>
      <x:c r="AI35" s="26" t="str">
        <x:v>Mobile / Android</x:v>
      </x:c>
      <x:c r="AJ35" s="30" t="n">
        <x:f>IF(AF35="","",LEN(AF35)-LEN(SUBSTITUTE(AF35,";",""))+1)</x:f>
        <x:v>2</x:v>
      </x:c>
      <x:c r="AK35" s="26" t="str">
        <x:v>Not dedicated</x:v>
      </x:c>
    </x:row>
    <x:row r="36" ht="56" customHeight="1">
      <x:c r="A36" s="26" t="str">
        <x:v>D2-032</x:v>
      </x:c>
      <x:c r="B36" s="26" t="str">
        <x:v>PalayCheck App</x:v>
      </x:c>
      <x:c r="C36" s="26" t="str">
        <x:v>PalayCheck</x:v>
      </x:c>
      <x:c r="D36" s="26" t="str">
        <x:v>DA-PhilRice</x:v>
      </x:c>
      <x:c r="E36" s="26" t="str">
        <x:v>National research institute</x:v>
      </x:c>
      <x:c r="F36" s="26" t="str">
        <x:v>Rice</x:v>
      </x:c>
      <x:c r="G36" s="26" t="str">
        <x:v>National</x:v>
      </x:c>
      <x:c r="H36" s="26" t="str">
        <x:v>Farm management and crop production</x:v>
      </x:c>
      <x:c r="I36" s="26" t="str">
        <x:v>Information and advisory services</x:v>
      </x:c>
      <x:c r="J36" s="26" t="str">
        <x:v>Farm management &amp; decision support</x:v>
      </x:c>
      <x:c r="K36" s="26" t="str">
        <x:v>Digitizes the PalayCheck rice crop-management framework</x:v>
      </x:c>
      <x:c r="L36" s="26" t="str">
        <x:v>Android app</x:v>
      </x:c>
      <x:c r="M36" s="26" t="str">
        <x:v>Farmers and extension workers</x:v>
      </x:c>
      <x:c r="N36" s="30" t="str">
        <x:v>Yes</x:v>
      </x:c>
      <x:c r="O36" s="30" t="str">
        <x:v>Yes</x:v>
      </x:c>
      <x:c r="P36" s="30" t="str">
        <x:v>Indirect</x:v>
      </x:c>
      <x:c r="Q36" s="26" t="str">
        <x:v>Operational</x:v>
      </x:c>
      <x:c r="R36" s="26" t="str">
        <x:v>Active / operational</x:v>
      </x:c>
      <x:c r="S36" s="26" t="str">
        <x:v>10,000+ downloads; app updated May 2025</x:v>
      </x:c>
      <x:c r="T36" s="26" t="str">
        <x:v>Comprehensive rice-management framework and current maintenance</x:v>
      </x:c>
      <x:c r="U36" s="26" t="str">
        <x:v>Data-entry burden, personalization, continued engagement and outcome tracking</x:v>
      </x:c>
      <x:c r="V36" s="26" t="str">
        <x:v>Farm-season data should be portable and farmer-controlled</x:v>
      </x:c>
      <x:c r="W36" s="26" t="str">
        <x:v>Farm record and advisory module</x:v>
      </x:c>
      <x:c r="X36" s="30" t="str">
        <x:v>High</x:v>
      </x:c>
      <x:c r="Y36" s="26" t="str">
        <x:v>Adopt a common farm-season schema and allow farmer-controlled export</x:v>
      </x:c>
      <x:c r="Z36" s="32" t="str">
        <x:v>https://play.google.com/store/apps/details?id=com.philrice.palaycheckapp</x:v>
      </x:c>
      <x:c r="AA36" s="32"/>
      <x:c r="AB36" s="30" t="str">
        <x:v>2026-07-11</x:v>
      </x:c>
      <x:c r="AC36" s="30" t="str">
        <x:v>High</x:v>
      </x:c>
      <x:c r="AD36" s="26"/>
      <x:c r="AE36" s="26" t="str">
        <x:v>Advisory &amp; e-extension</x:v>
      </x:c>
      <x:c r="AF36" s="26" t="str">
        <x:v>Advisory &amp; e-extension; Farm management &amp; decision support</x:v>
      </x:c>
      <x:c r="AG36" s="26" t="str">
        <x:v>Rice / palay</x:v>
      </x:c>
      <x:c r="AH36" s="26" t="str">
        <x:v>Production &amp; farm management; Extension, training &amp; support</x:v>
      </x:c>
      <x:c r="AI36" s="26" t="str">
        <x:v>Mobile / Android</x:v>
      </x:c>
      <x:c r="AJ36" s="30" t="n">
        <x:f>IF(AF36="","",LEN(AF36)-LEN(SUBSTITUTE(AF36,";",""))+1)</x:f>
        <x:v>2</x:v>
      </x:c>
      <x:c r="AK36" s="26" t="str">
        <x:v>Not dedicated</x:v>
      </x:c>
    </x:row>
    <x:row r="37" ht="56" customHeight="1">
      <x:c r="A37" s="26" t="str">
        <x:v>D2-033</x:v>
      </x:c>
      <x:c r="B37" s="26" t="str">
        <x:v>AgriDoc App</x:v>
      </x:c>
      <x:c r="C37" s="26" t="str">
        <x:v>AgriDoc</x:v>
      </x:c>
      <x:c r="D37" s="26" t="str">
        <x:v>DA-ATI / PhilRice-associated extension initiative</x:v>
      </x:c>
      <x:c r="E37" s="26" t="str">
        <x:v>National government / research</x:v>
      </x:c>
      <x:c r="F37" s="26" t="str">
        <x:v>Rice and extension</x:v>
      </x:c>
      <x:c r="G37" s="26" t="str">
        <x:v>National</x:v>
      </x:c>
      <x:c r="H37" s="26" t="str">
        <x:v>Extension and production</x:v>
      </x:c>
      <x:c r="I37" s="26" t="str">
        <x:v>Information and advisory services</x:v>
      </x:c>
      <x:c r="J37" s="26" t="str">
        <x:v>Advisory &amp; e-extension</x:v>
      </x:c>
      <x:c r="K37" s="26" t="str">
        <x:v>Provides rice production information and extension materials</x:v>
      </x:c>
      <x:c r="L37" s="26" t="str">
        <x:v>Android app</x:v>
      </x:c>
      <x:c r="M37" s="26" t="str">
        <x:v>Farmers and extension workers</x:v>
      </x:c>
      <x:c r="N37" s="30" t="str">
        <x:v>Yes</x:v>
      </x:c>
      <x:c r="O37" s="30" t="str">
        <x:v>Indirect</x:v>
      </x:c>
      <x:c r="P37" s="30" t="str">
        <x:v>Indirect</x:v>
      </x:c>
      <x:c r="Q37" s="26" t="str">
        <x:v>Operational / legacy</x:v>
      </x:c>
      <x:c r="R37" s="26" t="str">
        <x:v>Status unverified</x:v>
      </x:c>
      <x:c r="S37" s="26" t="str">
        <x:v>1,061 users reported as of July 2022</x:v>
      </x:c>
      <x:c r="T37" s="26" t="str">
        <x:v>Extension-oriented localized content</x:v>
      </x:c>
      <x:c r="U37" s="26" t="str">
        <x:v>Small user base, maintenance and overlap with newer apps</x:v>
      </x:c>
      <x:c r="V37" s="26" t="str">
        <x:v>No public API; current data practices and maintenance need verification</x:v>
      </x:c>
      <x:c r="W37" s="26" t="str">
        <x:v>Legacy content link</x:v>
      </x:c>
      <x:c r="X37" s="30" t="str">
        <x:v>Low</x:v>
      </x:c>
      <x:c r="Y37" s="26" t="str">
        <x:v>Archive or consolidate maintained content into a shared advisory content service</x:v>
      </x:c>
      <x:c r="Z37" s="32" t="str">
        <x:v>https://pidswebs.pids.gov.ph/CDN/document/pidsdps2329.pdf</x:v>
      </x:c>
      <x:c r="AA37" s="32" t="str">
        <x:v>https://ati2.da.gov.ph/ati-main/content/training_services</x:v>
      </x:c>
      <x:c r="AB37" s="30" t="str">
        <x:v>2026-07-11</x:v>
      </x:c>
      <x:c r="AC37" s="30" t="str">
        <x:v>Medium</x:v>
      </x:c>
      <x:c r="AD37" s="26"/>
      <x:c r="AE37" s="26" t="str"/>
      <x:c r="AF37" s="26" t="str">
        <x:v>Advisory &amp; e-extension</x:v>
      </x:c>
      <x:c r="AG37" s="26" t="str">
        <x:v>Rice / palay</x:v>
      </x:c>
      <x:c r="AH37" s="26" t="str">
        <x:v>Production &amp; farm management; Extension, training &amp; support</x:v>
      </x:c>
      <x:c r="AI37" s="26" t="str">
        <x:v>Mobile / Android</x:v>
      </x:c>
      <x:c r="AJ37" s="30" t="n">
        <x:f>IF(AF37="","",LEN(AF37)-LEN(SUBSTITUTE(AF37,";",""))+1)</x:f>
        <x:v>1</x:v>
      </x:c>
      <x:c r="AK37" s="26" t="str">
        <x:v>Not dedicated</x:v>
      </x:c>
    </x:row>
    <x:row r="38" ht="56" customHeight="1">
      <x:c r="A38" s="26" t="str">
        <x:v>D2-034</x:v>
      </x:c>
      <x:c r="B38" s="26" t="str">
        <x:v>WateRice</x:v>
      </x:c>
      <x:c r="C38" s="26" t="str">
        <x:v>WateRice</x:v>
      </x:c>
      <x:c r="D38" s="26" t="str">
        <x:v>DA-PhilRice and partners</x:v>
      </x:c>
      <x:c r="E38" s="26" t="str">
        <x:v>National research institute</x:v>
      </x:c>
      <x:c r="F38" s="26" t="str">
        <x:v>Rice and irrigation</x:v>
      </x:c>
      <x:c r="G38" s="26" t="str">
        <x:v>Philippines</x:v>
      </x:c>
      <x:c r="H38" s="26" t="str">
        <x:v>Water and crop management</x:v>
      </x:c>
      <x:c r="I38" s="26" t="str">
        <x:v>Information and advisory services</x:v>
      </x:c>
      <x:c r="J38" s="26" t="str">
        <x:v>Farm management &amp; decision support</x:v>
      </x:c>
      <x:c r="K38" s="26" t="str">
        <x:v>Supports water-management decisions in rice farming</x:v>
      </x:c>
      <x:c r="L38" s="26" t="str">
        <x:v>Mobile advisory tool</x:v>
      </x:c>
      <x:c r="M38" s="26" t="str">
        <x:v>Rice farmers, irrigators and extension workers</x:v>
      </x:c>
      <x:c r="N38" s="30" t="str">
        <x:v>Yes</x:v>
      </x:c>
      <x:c r="O38" s="30" t="str">
        <x:v>Yes</x:v>
      </x:c>
      <x:c r="P38" s="30" t="str">
        <x:v>Yes</x:v>
      </x:c>
      <x:c r="Q38" s="26" t="str">
        <x:v>Pilot / operational legacy</x:v>
      </x:c>
      <x:c r="R38" s="26" t="str">
        <x:v>Status unverified</x:v>
      </x:c>
      <x:c r="S38" s="26" t="str">
        <x:v>Listed in the PIDS national digital-agriculture inventory</x:v>
      </x:c>
      <x:c r="T38" s="26" t="str">
        <x:v>Addresses water-use efficiency and climate risk</x:v>
      </x:c>
      <x:c r="U38" s="26" t="str">
        <x:v>Current maintenance, weather/sensor integration and irrigation-institution linkage</x:v>
      </x:c>
      <x:c r="V38" s="26" t="str">
        <x:v>No public API or current governance documentation located</x:v>
      </x:c>
      <x:c r="W38" s="26" t="str">
        <x:v>Water-advisory module</x:v>
      </x:c>
      <x:c r="X38" s="30" t="str">
        <x:v>Medium</x:v>
      </x:c>
      <x:c r="Y38" s="26" t="str">
        <x:v>Confirm active version and integrate weather, AWD, irrigation and field-water records</x:v>
      </x:c>
      <x:c r="Z38" s="32" t="str">
        <x:v>https://pidswebs.pids.gov.ph/CDN/document/pidsdps2329.pdf</x:v>
      </x:c>
      <x:c r="AA38" s="32"/>
      <x:c r="AB38" s="30" t="str">
        <x:v>2026-07-11</x:v>
      </x:c>
      <x:c r="AC38" s="30" t="str">
        <x:v>Low</x:v>
      </x:c>
      <x:c r="AD38" s="26"/>
      <x:c r="AE38" s="26" t="str">
        <x:v>Advisory &amp; e-extension</x:v>
      </x:c>
      <x:c r="AF38" s="26" t="str">
        <x:v>Advisory &amp; e-extension; Farm management &amp; decision support</x:v>
      </x:c>
      <x:c r="AG38" s="26" t="str">
        <x:v>Rice / palay</x:v>
      </x:c>
      <x:c r="AH38" s="26" t="str">
        <x:v>Production &amp; farm management; Extension, training &amp; support</x:v>
      </x:c>
      <x:c r="AI38" s="26" t="str">
        <x:v>Mobile / Android</x:v>
      </x:c>
      <x:c r="AJ38" s="30" t="n">
        <x:f>IF(AF38="","",LEN(AF38)-LEN(SUBSTITUTE(AF38,";",""))+1)</x:f>
        <x:v>2</x:v>
      </x:c>
      <x:c r="AK38" s="26" t="str">
        <x:v>Not dedicated</x:v>
      </x:c>
    </x:row>
    <x:row r="39" ht="56" customHeight="1">
      <x:c r="A39" s="26" t="str">
        <x:v>D2-035</x:v>
      </x:c>
      <x:c r="B39" s="26" t="str">
        <x:v>Pinoy Rice Knowledge Bank</x:v>
      </x:c>
      <x:c r="C39" s="26" t="str">
        <x:v>PRKB</x:v>
      </x:c>
      <x:c r="D39" s="26" t="str">
        <x:v>DA-PhilRice</x:v>
      </x:c>
      <x:c r="E39" s="26" t="str">
        <x:v>National research institute</x:v>
      </x:c>
      <x:c r="F39" s="26" t="str">
        <x:v>Rice</x:v>
      </x:c>
      <x:c r="G39" s="26" t="str">
        <x:v>National</x:v>
      </x:c>
      <x:c r="H39" s="26" t="str">
        <x:v>Knowledge and extension</x:v>
      </x:c>
      <x:c r="I39" s="26" t="str">
        <x:v>Information and advisory services</x:v>
      </x:c>
      <x:c r="J39" s="26" t="str">
        <x:v>Advisory &amp; e-extension</x:v>
      </x:c>
      <x:c r="K39" s="26" t="str">
        <x:v>Online rice technologies, knowledge and learning resources</x:v>
      </x:c>
      <x:c r="L39" s="26" t="str">
        <x:v>Web knowledge portal</x:v>
      </x:c>
      <x:c r="M39" s="26" t="str">
        <x:v>Farmers, students and extension workers</x:v>
      </x:c>
      <x:c r="N39" s="30" t="str">
        <x:v>Indirect</x:v>
      </x:c>
      <x:c r="O39" s="30" t="str">
        <x:v>Indirect</x:v>
      </x:c>
      <x:c r="P39" s="30" t="str">
        <x:v>Indirect</x:v>
      </x:c>
      <x:c r="Q39" s="26" t="str">
        <x:v>Operational / legacy</x:v>
      </x:c>
      <x:c r="R39" s="26" t="str">
        <x:v>Active / operational</x:v>
      </x:c>
      <x:c r="S39" s="26" t="str">
        <x:v>Still used in Digital Farmers Program training</x:v>
      </x:c>
      <x:c r="T39" s="26" t="str">
        <x:v>Rich localized content base</x:v>
      </x:c>
      <x:c r="U39" s="26" t="str">
        <x:v>Content freshness, discoverability, duplication and accessibility</x:v>
      </x:c>
      <x:c r="V39" s="26" t="str">
        <x:v>Content taxonomy, licensing and version metadata should be standardized</x:v>
      </x:c>
      <x:c r="W39" s="26" t="str">
        <x:v>Knowledge-content source</x:v>
      </x:c>
      <x:c r="X39" s="30" t="str">
        <x:v>High</x:v>
      </x:c>
      <x:c r="Y39" s="26" t="str">
        <x:v>Index maintained content in SINAG without copying uncontrolled versions</x:v>
      </x:c>
      <x:c r="Z39" s="32" t="str">
        <x:v>https://www.pinoyrice.com/</x:v>
      </x:c>
      <x:c r="AA39" s="32" t="str">
        <x:v>https://ati2.da.gov.ph/ati-car/content/article/bongbong-l-buli-e/digital-dawn-kalinga-rice-farmers-undergo-farm-learn-digital-technology</x:v>
      </x:c>
      <x:c r="AB39" s="30" t="str">
        <x:v>2026-07-11</x:v>
      </x:c>
      <x:c r="AC39" s="30" t="str">
        <x:v>High</x:v>
      </x:c>
      <x:c r="AD39" s="26"/>
      <x:c r="AE39" s="26" t="str"/>
      <x:c r="AF39" s="26" t="str">
        <x:v>Advisory &amp; e-extension</x:v>
      </x:c>
      <x:c r="AG39" s="26" t="str">
        <x:v>Rice / palay</x:v>
      </x:c>
      <x:c r="AH39" s="26" t="str">
        <x:v>Extension, training &amp; support</x:v>
      </x:c>
      <x:c r="AI39" s="26" t="str">
        <x:v>Web / portal</x:v>
      </x:c>
      <x:c r="AJ39" s="30" t="n">
        <x:f>IF(AF39="","",LEN(AF39)-LEN(SUBSTITUTE(AF39,";",""))+1)</x:f>
        <x:v>1</x:v>
      </x:c>
      <x:c r="AK39" s="26" t="str">
        <x:v>Not dedicated</x:v>
      </x:c>
    </x:row>
    <x:row r="40" ht="56" customHeight="1">
      <x:c r="A40" s="26" t="str">
        <x:v>D2-036</x:v>
      </x:c>
      <x:c r="B40" s="26" t="str">
        <x:v>IRRI Rice Knowledge Bank</x:v>
      </x:c>
      <x:c r="C40" s="26" t="str">
        <x:v>RKB</x:v>
      </x:c>
      <x:c r="D40" s="26" t="str">
        <x:v>International Rice Research Institute</x:v>
      </x:c>
      <x:c r="E40" s="26" t="str">
        <x:v>International research institute</x:v>
      </x:c>
      <x:c r="F40" s="26" t="str">
        <x:v>Rice</x:v>
      </x:c>
      <x:c r="G40" s="26" t="str">
        <x:v>Global with Philippine use</x:v>
      </x:c>
      <x:c r="H40" s="26" t="str">
        <x:v>Knowledge and extension</x:v>
      </x:c>
      <x:c r="I40" s="26" t="str">
        <x:v>Information and advisory services</x:v>
      </x:c>
      <x:c r="J40" s="26" t="str">
        <x:v>Advisory &amp; e-extension</x:v>
      </x:c>
      <x:c r="K40" s="26" t="str">
        <x:v>Global rice-production knowledge and management resources</x:v>
      </x:c>
      <x:c r="L40" s="26" t="str">
        <x:v>Web knowledge portal</x:v>
      </x:c>
      <x:c r="M40" s="26" t="str">
        <x:v>Farmers, extension workers and researchers</x:v>
      </x:c>
      <x:c r="N40" s="30" t="str">
        <x:v>Indirect</x:v>
      </x:c>
      <x:c r="O40" s="30" t="str">
        <x:v>Yes</x:v>
      </x:c>
      <x:c r="P40" s="30" t="str">
        <x:v>Indirect</x:v>
      </x:c>
      <x:c r="Q40" s="26" t="str">
        <x:v>Institutionalized</x:v>
      </x:c>
      <x:c r="R40" s="26" t="str">
        <x:v>Active / operational</x:v>
      </x:c>
      <x:c r="S40" s="26" t="str">
        <x:v>Used in Philippine digital-farmer training</x:v>
      </x:c>
      <x:c r="T40" s="26" t="str">
        <x:v>Strong technical content and international maintenance</x:v>
      </x:c>
      <x:c r="U40" s="26" t="str">
        <x:v>Localization and alignment with current national recommendations</x:v>
      </x:c>
      <x:c r="V40" s="26" t="str">
        <x:v>Content may be linked subject to licensing and version control</x:v>
      </x:c>
      <x:c r="W40" s="26" t="str">
        <x:v>External knowledge source</x:v>
      </x:c>
      <x:c r="X40" s="30" t="str">
        <x:v>Medium</x:v>
      </x:c>
      <x:c r="Y40" s="26" t="str">
        <x:v>Federate selected localized content rather than mirror the whole portal</x:v>
      </x:c>
      <x:c r="Z40" s="32" t="str">
        <x:v>https://www.knowledgebank.irri.org/</x:v>
      </x:c>
      <x:c r="AA40" s="32" t="str">
        <x:v>https://ati2.da.gov.ph/ati-car/content/article/bongbong-l-buli-e/digital-dawn-kalinga-rice-farmers-undergo-farm-learn-digital-technology</x:v>
      </x:c>
      <x:c r="AB40" s="30" t="str">
        <x:v>2026-07-11</x:v>
      </x:c>
      <x:c r="AC40" s="30" t="str">
        <x:v>High</x:v>
      </x:c>
      <x:c r="AD40" s="26"/>
      <x:c r="AE40" s="26" t="str"/>
      <x:c r="AF40" s="26" t="str">
        <x:v>Advisory &amp; e-extension</x:v>
      </x:c>
      <x:c r="AG40" s="26" t="str">
        <x:v>Rice / palay</x:v>
      </x:c>
      <x:c r="AH40" s="26" t="str">
        <x:v>Production &amp; farm management; Extension, training &amp; support</x:v>
      </x:c>
      <x:c r="AI40" s="26" t="str">
        <x:v>Web / portal</x:v>
      </x:c>
      <x:c r="AJ40" s="30" t="n">
        <x:f>IF(AF40="","",LEN(AF40)-LEN(SUBSTITUTE(AF40,";",""))+1)</x:f>
        <x:v>1</x:v>
      </x:c>
      <x:c r="AK40" s="26" t="str">
        <x:v>Not dedicated</x:v>
      </x:c>
    </x:row>
    <x:row r="41" ht="56" customHeight="1">
      <x:c r="A41" s="26" t="str">
        <x:v>D2-037</x:v>
      </x:c>
      <x:c r="B41" s="26" t="str">
        <x:v>Smarter Pest Identification Technology</x:v>
      </x:c>
      <x:c r="C41" s="26" t="str">
        <x:v>SPIDTECH</x:v>
      </x:c>
      <x:c r="D41" s="26" t="str">
        <x:v>UP Los Baños / DOST-PCAARRD partners</x:v>
      </x:c>
      <x:c r="E41" s="26" t="str">
        <x:v>SUC / research consortium</x:v>
      </x:c>
      <x:c r="F41" s="26" t="str">
        <x:v>Multiple crops and pests</x:v>
      </x:c>
      <x:c r="G41" s="26" t="str">
        <x:v>Philippines</x:v>
      </x:c>
      <x:c r="H41" s="26" t="str">
        <x:v>Crop protection</x:v>
      </x:c>
      <x:c r="I41" s="26" t="str">
        <x:v>Information and advisory services</x:v>
      </x:c>
      <x:c r="J41" s="26" t="str">
        <x:v>Pest, disease &amp; biosecurity</x:v>
      </x:c>
      <x:c r="K41" s="26" t="str">
        <x:v>Image-based pest and disease identification and management information</x:v>
      </x:c>
      <x:c r="L41" s="26" t="str">
        <x:v>Mobile app, computer vision and knowledge base</x:v>
      </x:c>
      <x:c r="M41" s="26" t="str">
        <x:v>Farmers, extension workers and students</x:v>
      </x:c>
      <x:c r="N41" s="30" t="str">
        <x:v>Yes</x:v>
      </x:c>
      <x:c r="O41" s="30" t="str">
        <x:v>Yes</x:v>
      </x:c>
      <x:c r="P41" s="30" t="str">
        <x:v>Indirect</x:v>
      </x:c>
      <x:c r="Q41" s="26" t="str">
        <x:v>Operational / research-based</x:v>
      </x:c>
      <x:c r="R41" s="26" t="str">
        <x:v>Active / operational</x:v>
      </x:c>
      <x:c r="S41" s="26" t="str">
        <x:v>Still used in Digital Farmers Program curricula in 2025</x:v>
      </x:c>
      <x:c r="T41" s="26" t="str">
        <x:v>Locally developed diagnostics and training exposure</x:v>
      </x:c>
      <x:c r="U41" s="26" t="str">
        <x:v>Model updates, confidence, image quality, expert escalation and outcome evidence</x:v>
      </x:c>
      <x:c r="V41" s="26" t="str">
        <x:v>Images, location and diagnosis logs require consent and access controls</x:v>
      </x:c>
      <x:c r="W41" s="26" t="str">
        <x:v>Diagnostic module and expert referral</x:v>
      </x:c>
      <x:c r="X41" s="30" t="str">
        <x:v>High</x:v>
      </x:c>
      <x:c r="Y41" s="26" t="str">
        <x:v>Require confidence scores, expert escalation and feedback-labelled images</x:v>
      </x:c>
      <x:c r="Z41" s="32" t="str">
        <x:v>https://spidtech.ph/</x:v>
      </x:c>
      <x:c r="AA41" s="32" t="str">
        <x:v>https://ati2.da.gov.ph/ati-car/content/article/bongbong-l-buli-e/digital-dawn-kalinga-rice-farmers-undergo-farm-learn-digital-technology</x:v>
      </x:c>
      <x:c r="AB41" s="30" t="str">
        <x:v>2026-07-11</x:v>
      </x:c>
      <x:c r="AC41" s="30" t="str">
        <x:v>High</x:v>
      </x:c>
      <x:c r="AD41" s="26"/>
      <x:c r="AE41" s="26" t="str">
        <x:v>Registry &amp; digital identity; Advisory &amp; e-extension; Precision agriculture, EO, drones &amp; IoT</x:v>
      </x:c>
      <x:c r="AF41" s="26" t="str">
        <x:v>Registry &amp; digital identity; Advisory &amp; e-extension; Precision agriculture, EO, drones &amp; IoT; Pest, disease &amp; biosecurity</x:v>
      </x:c>
      <x:c r="AG41" s="26" t="str">
        <x:v>Cross-sector</x:v>
      </x:c>
      <x:c r="AH41" s="26" t="str">
        <x:v>Registration &amp; identity; Animal/plant health &amp; biosecurity; Extension, training &amp; support</x:v>
      </x:c>
      <x:c r="AI41" s="26" t="str">
        <x:v>Mobile / Android; AI / ML / computer vision</x:v>
      </x:c>
      <x:c r="AJ41" s="30" t="n">
        <x:f>IF(AF41="","",LEN(AF41)-LEN(SUBSTITUTE(AF41,";",""))+1)</x:f>
        <x:v>4</x:v>
      </x:c>
      <x:c r="AK41" s="26" t="str">
        <x:v>Not dedicated</x:v>
      </x:c>
    </x:row>
    <x:row r="42" ht="56" customHeight="1">
      <x:c r="A42" s="26" t="str">
        <x:v>D2-038</x:v>
      </x:c>
      <x:c r="B42" s="26" t="str">
        <x:v>Image-based Pest Diagnosis for Enhanced Agriculture in Region II</x:v>
      </x:c>
      <x:c r="C42" s="26" t="str">
        <x:v>IDEA Region II</x:v>
      </x:c>
      <x:c r="D42" s="26" t="str">
        <x:v>DA Regional Field Office II and partners</x:v>
      </x:c>
      <x:c r="E42" s="26" t="str">
        <x:v>Regional government / R&amp;D concept</x:v>
      </x:c>
      <x:c r="F42" s="26" t="str">
        <x:v>Multiple crops and pests</x:v>
      </x:c>
      <x:c r="G42" s="26" t="str">
        <x:v>Region II</x:v>
      </x:c>
      <x:c r="H42" s="26" t="str">
        <x:v>Crop protection</x:v>
      </x:c>
      <x:c r="I42" s="26" t="str">
        <x:v>Research / prototype</x:v>
      </x:c>
      <x:c r="J42" s="26" t="str">
        <x:v>Pest, disease &amp; biosecurity</x:v>
      </x:c>
      <x:c r="K42" s="26" t="str">
        <x:v>Regional concept for image-based pest diagnosis</x:v>
      </x:c>
      <x:c r="L42" s="26" t="str">
        <x:v>AI image diagnosis and mobile concept</x:v>
      </x:c>
      <x:c r="M42" s="26" t="str">
        <x:v>Farmers, extension workers and regional DA</x:v>
      </x:c>
      <x:c r="N42" s="30" t="str">
        <x:v>Yes</x:v>
      </x:c>
      <x:c r="O42" s="30" t="str">
        <x:v>Yes</x:v>
      </x:c>
      <x:c r="P42" s="30" t="str">
        <x:v>Indirect</x:v>
      </x:c>
      <x:c r="Q42" s="26" t="str">
        <x:v>Concept / early development</x:v>
      </x:c>
      <x:c r="R42" s="26" t="str">
        <x:v>Pilot / prototype</x:v>
      </x:c>
      <x:c r="S42" s="26" t="str">
        <x:v>Presented as a project concept in July 2025</x:v>
      </x:c>
      <x:c r="T42" s="26" t="str">
        <x:v>Local ownership and crop/pest relevance</x:v>
      </x:c>
      <x:c r="U42" s="26" t="str">
        <x:v>Training data, expert validation, maintenance and duplication</x:v>
      </x:c>
      <x:c r="V42" s="26" t="str">
        <x:v>Image and location governance should be designed from inception</x:v>
      </x:c>
      <x:c r="W42" s="26" t="str">
        <x:v>Regional pilot and labelled-data source</x:v>
      </x:c>
      <x:c r="X42" s="30" t="str">
        <x:v>Medium</x:v>
      </x:c>
      <x:c r="Y42" s="26" t="str">
        <x:v>Coordinate with SPIDTECH and PRIME; share validated labels rather than duplicate models</x:v>
      </x:c>
      <x:c r="Z42" s="32" t="str">
        <x:v>https://cagayanvalley.da.gov.ph/2025/07/10/technology-nutrition-and-innovation-a-3-in-1-celebration-of-digital-agriculture-national-nutrition-month-food-revolution-region-02-champouradu/</x:v>
      </x:c>
      <x:c r="AA42" s="32"/>
      <x:c r="AB42" s="30" t="str">
        <x:v>2026-07-11</x:v>
      </x:c>
      <x:c r="AC42" s="30" t="str">
        <x:v>High</x:v>
      </x:c>
      <x:c r="AD42" s="26"/>
      <x:c r="AE42" s="26" t="str"/>
      <x:c r="AF42" s="26" t="str">
        <x:v>Pest, disease &amp; biosecurity</x:v>
      </x:c>
      <x:c r="AG42" s="26" t="str">
        <x:v>Cross-sector</x:v>
      </x:c>
      <x:c r="AH42" s="26" t="str">
        <x:v>R&amp;D, breeding &amp; genetic resources; Animal/plant health &amp; biosecurity</x:v>
      </x:c>
      <x:c r="AI42" s="26" t="str">
        <x:v>Mobile / Android</x:v>
      </x:c>
      <x:c r="AJ42" s="30" t="n">
        <x:f>IF(AF42="","",LEN(AF42)-LEN(SUBSTITUTE(AF42,";",""))+1)</x:f>
        <x:v>1</x:v>
      </x:c>
      <x:c r="AK42" s="26" t="str">
        <x:v>Not dedicated</x:v>
      </x:c>
    </x:row>
    <x:row r="43" ht="56" customHeight="1">
      <x:c r="A43" s="26" t="str">
        <x:v>D2-039</x:v>
      </x:c>
      <x:c r="B43" s="26" t="str">
        <x:v>Precision and Digital Agriculture Center</x:v>
      </x:c>
      <x:c r="C43" s="26" t="str">
        <x:v>PreDiCt</x:v>
      </x:c>
      <x:c r="D43" s="26" t="str">
        <x:v>Central Luzon State University</x:v>
      </x:c>
      <x:c r="E43" s="26" t="str">
        <x:v>State university</x:v>
      </x:c>
      <x:c r="F43" s="26" t="str">
        <x:v>Multiple crops and smart farming</x:v>
      </x:c>
      <x:c r="G43" s="26" t="str">
        <x:v>Central Luzon / wider training role</x:v>
      </x:c>
      <x:c r="H43" s="26" t="str">
        <x:v>Research, demonstration and extension</x:v>
      </x:c>
      <x:c r="I43" s="26" t="str">
        <x:v>Information and advisory services</x:v>
      </x:c>
      <x:c r="J43" s="26" t="str">
        <x:v>Training, capacity &amp; innovation hubs</x:v>
      </x:c>
      <x:c r="K43" s="26" t="str">
        <x:v>Research, demonstration and training hub for precision and digital agriculture</x:v>
      </x:c>
      <x:c r="L43" s="26" t="str">
        <x:v>Center, laboratories and demonstrations</x:v>
      </x:c>
      <x:c r="M43" s="26" t="str">
        <x:v>Farmers, students, researchers, industry and extension</x:v>
      </x:c>
      <x:c r="N43" s="30" t="str">
        <x:v>Indirect</x:v>
      </x:c>
      <x:c r="O43" s="30" t="str">
        <x:v>Yes</x:v>
      </x:c>
      <x:c r="P43" s="30" t="str">
        <x:v>Indirect</x:v>
      </x:c>
      <x:c r="Q43" s="26" t="str">
        <x:v>Operational</x:v>
      </x:c>
      <x:c r="R43" s="26" t="str">
        <x:v>Active / operational</x:v>
      </x:c>
      <x:c r="S43" s="26" t="str">
        <x:v>Established center documented in the national review</x:v>
      </x:c>
      <x:c r="T43" s="26" t="str">
        <x:v>Facilities, technical skills and regional innovation role</x:v>
      </x:c>
      <x:c r="U43" s="26" t="str">
        <x:v>Sustainable funding, equipment maintenance and scale beyond training</x:v>
      </x:c>
      <x:c r="V43" s="26" t="str">
        <x:v>Can host interoperability and usability testing under institutional policies</x:v>
      </x:c>
      <x:c r="W43" s="26" t="str">
        <x:v>Innovation hub and testing node</x:v>
      </x:c>
      <x:c r="X43" s="30" t="str">
        <x:v>High</x:v>
      </x:c>
      <x:c r="Y43" s="26" t="str">
        <x:v>Use as a SINAG interoperability, usability and capacity-building testbed</x:v>
      </x:c>
      <x:c r="Z43" s="32" t="str">
        <x:v>https://pidswebs.pids.gov.ph/CDN/document/pidsdps2329.pdf</x:v>
      </x:c>
      <x:c r="AA43" s="32" t="str">
        <x:v>https://clsu.edu.ph/</x:v>
      </x:c>
      <x:c r="AB43" s="30" t="str">
        <x:v>2026-07-11</x:v>
      </x:c>
      <x:c r="AC43" s="30" t="str">
        <x:v>Medium</x:v>
      </x:c>
      <x:c r="AD43" s="26"/>
      <x:c r="AE43" s="26" t="str">
        <x:v>Advisory &amp; e-extension</x:v>
      </x:c>
      <x:c r="AF43" s="26" t="str">
        <x:v>Advisory &amp; e-extension; Training, capacity &amp; innovation hubs</x:v>
      </x:c>
      <x:c r="AG43" s="26" t="str">
        <x:v>Cross-sector</x:v>
      </x:c>
      <x:c r="AH43" s="26" t="str">
        <x:v>R&amp;D, breeding &amp; genetic resources; Extension, training &amp; support</x:v>
      </x:c>
      <x:c r="AI43" s="26" t="str">
        <x:v>Digital service — unspecified stack</x:v>
      </x:c>
      <x:c r="AJ43" s="30" t="n">
        <x:f>IF(AF43="","",LEN(AF43)-LEN(SUBSTITUTE(AF43,";",""))+1)</x:f>
        <x:v>2</x:v>
      </x:c>
      <x:c r="AK43" s="26" t="str">
        <x:v>Not dedicated</x:v>
      </x:c>
    </x:row>
    <x:row r="44" ht="56" customHeight="1">
      <x:c r="A44" s="26" t="str">
        <x:v>D2-040</x:v>
      </x:c>
      <x:c r="B44" s="26" t="str">
        <x:v>e-Extension Program for Agriculture and Fisheries</x:v>
      </x:c>
      <x:c r="C44" s="26" t="str">
        <x:v>e-Extension</x:v>
      </x:c>
      <x:c r="D44" s="26" t="str">
        <x:v>DA-Agricultural Training Institute</x:v>
      </x:c>
      <x:c r="E44" s="26" t="str">
        <x:v>National government</x:v>
      </x:c>
      <x:c r="F44" s="26" t="str">
        <x:v>Cross-sector</x:v>
      </x:c>
      <x:c r="G44" s="26" t="str">
        <x:v>National</x:v>
      </x:c>
      <x:c r="H44" s="26" t="str">
        <x:v>Extension and learning</x:v>
      </x:c>
      <x:c r="I44" s="26" t="str">
        <x:v>Information and advisory services</x:v>
      </x:c>
      <x:c r="J44" s="26" t="str">
        <x:v>Advisory &amp; e-extension</x:v>
      </x:c>
      <x:c r="K44" s="26" t="str">
        <x:v>Self-paced e-learning, digital resources and electronic extension services</x:v>
      </x:c>
      <x:c r="L44" s="26" t="str">
        <x:v>Web learning portal and online courses</x:v>
      </x:c>
      <x:c r="M44" s="26" t="str">
        <x:v>Farmers, fisherfolk, extension workers and students</x:v>
      </x:c>
      <x:c r="N44" s="30" t="str">
        <x:v>Indirect</x:v>
      </x:c>
      <x:c r="O44" s="30" t="str">
        <x:v>Yes</x:v>
      </x:c>
      <x:c r="P44" s="30" t="str">
        <x:v>Indirect</x:v>
      </x:c>
      <x:c r="Q44" s="26" t="str">
        <x:v>Institutionalized</x:v>
      </x:c>
      <x:c r="R44" s="26" t="str">
        <x:v>Active / operational</x:v>
      </x:c>
      <x:c r="S44" s="26" t="str">
        <x:v>Long-running national program with ongoing 2025 promotion</x:v>
      </x:c>
      <x:c r="T44" s="26" t="str">
        <x:v>Institutional mandate and broad content coverage</x:v>
      </x:c>
      <x:c r="U44" s="26" t="str">
        <x:v>Completion-to-adoption gap, connectivity, accessibility and learner-record fragmentation</x:v>
      </x:c>
      <x:c r="V44" s="26" t="str">
        <x:v>Learner data and course analytics require consent and retention rules</x:v>
      </x:c>
      <x:c r="W44" s="26" t="str">
        <x:v>Training and content backbone</x:v>
      </x:c>
      <x:c r="X44" s="30" t="str">
        <x:v>High</x:v>
      </x:c>
      <x:c r="Y44" s="26" t="str">
        <x:v>Federate course catalog, credentials, referrals and post-training adoption feedback</x:v>
      </x:c>
      <x:c r="Z44" s="32" t="str">
        <x:v>https://elearn.e-extension.gov.ph/</x:v>
      </x:c>
      <x:c r="AA44" s="32" t="str">
        <x:v>https://ati2.da.gov.ph/ati-4a/content/e-learningMAUBAN</x:v>
      </x:c>
      <x:c r="AB44" s="30" t="str">
        <x:v>2026-07-11</x:v>
      </x:c>
      <x:c r="AC44" s="30" t="str">
        <x:v>High</x:v>
      </x:c>
      <x:c r="AD44" s="26"/>
      <x:c r="AE44" s="26" t="str">
        <x:v>Fisheries &amp; aquaculture</x:v>
      </x:c>
      <x:c r="AF44" s="26" t="str">
        <x:v>Advisory &amp; e-extension; Fisheries &amp; aquaculture</x:v>
      </x:c>
      <x:c r="AG44" s="26" t="str">
        <x:v>Cross-sector; Fisheries &amp; aquaculture</x:v>
      </x:c>
      <x:c r="AH44" s="26" t="str">
        <x:v>Extension, training &amp; support</x:v>
      </x:c>
      <x:c r="AI44" s="26" t="str">
        <x:v>Web / portal</x:v>
      </x:c>
      <x:c r="AJ44" s="30" t="n">
        <x:f>IF(AF44="","",LEN(AF44)-LEN(SUBSTITUTE(AF44,";",""))+1)</x:f>
        <x:v>2</x:v>
      </x:c>
      <x:c r="AK44" s="26" t="str">
        <x:v>Not dedicated</x:v>
      </x:c>
    </x:row>
    <x:row r="45" ht="56" customHeight="1">
      <x:c r="A45" s="26" t="str">
        <x:v>D2-041</x:v>
      </x:c>
      <x:c r="B45" s="26" t="str">
        <x:v>Farmers' Contact Center / e-Farming</x:v>
      </x:c>
      <x:c r="C45" s="26" t="str">
        <x:v>FCC / e-Farming</x:v>
      </x:c>
      <x:c r="D45" s="26" t="str">
        <x:v>DA-Agricultural Training Institute</x:v>
      </x:c>
      <x:c r="E45" s="26" t="str">
        <x:v>National government</x:v>
      </x:c>
      <x:c r="F45" s="26" t="str">
        <x:v>Cross-sector</x:v>
      </x:c>
      <x:c r="G45" s="26" t="str">
        <x:v>National</x:v>
      </x:c>
      <x:c r="H45" s="26" t="str">
        <x:v>Extension and advisory</x:v>
      </x:c>
      <x:c r="I45" s="26" t="str">
        <x:v>Information and advisory services</x:v>
      </x:c>
      <x:c r="J45" s="26" t="str">
        <x:v>Advisory &amp; e-extension</x:v>
      </x:c>
      <x:c r="K45" s="26" t="str">
        <x:v>Provides advice through calls, texts, email, chat and forums</x:v>
      </x:c>
      <x:c r="L45" s="26" t="str">
        <x:v>Omnichannel human contact center</x:v>
      </x:c>
      <x:c r="M45" s="26" t="str">
        <x:v>Farmers, fisherfolk and extension workers</x:v>
      </x:c>
      <x:c r="N45" s="30" t="str">
        <x:v>Indirect</x:v>
      </x:c>
      <x:c r="O45" s="30" t="str">
        <x:v>Yes</x:v>
      </x:c>
      <x:c r="P45" s="30" t="str">
        <x:v>Indirect</x:v>
      </x:c>
      <x:c r="Q45" s="26" t="str">
        <x:v>Institutionalized</x:v>
      </x:c>
      <x:c r="R45" s="26" t="str">
        <x:v>Active / operational</x:v>
      </x:c>
      <x:c r="S45" s="26" t="str">
        <x:v>Long-running ATI e-Extension service</x:v>
      </x:c>
      <x:c r="T45" s="26" t="str">
        <x:v>Human-in-the-loop and low-bandwidth channels</x:v>
      </x:c>
      <x:c r="U45" s="26" t="str">
        <x:v>Case tracking, response time, staffing and knowledge reuse</x:v>
      </x:c>
      <x:c r="V45" s="26" t="str">
        <x:v>Personal queries and farm information need secure case management</x:v>
      </x:c>
      <x:c r="W45" s="26" t="str">
        <x:v>Human expert escalation</x:v>
      </x:c>
      <x:c r="X45" s="30" t="str">
        <x:v>High</x:v>
      </x:c>
      <x:c r="Y45" s="26" t="str">
        <x:v>Integrate ticketing, referral, expert directories and anonymized learning</x:v>
      </x:c>
      <x:c r="Z45" s="32" t="str">
        <x:v>https://ati2.da.gov.ph/ati-3/content/information-services</x:v>
      </x:c>
      <x:c r="AA45" s="32"/>
      <x:c r="AB45" s="30" t="str">
        <x:v>2026-07-11</x:v>
      </x:c>
      <x:c r="AC45" s="30" t="str">
        <x:v>High</x:v>
      </x:c>
      <x:c r="AD45" s="26"/>
      <x:c r="AE45" s="26" t="str">
        <x:v>Fisheries &amp; aquaculture</x:v>
      </x:c>
      <x:c r="AF45" s="26" t="str">
        <x:v>Advisory &amp; e-extension; Fisheries &amp; aquaculture</x:v>
      </x:c>
      <x:c r="AG45" s="26" t="str">
        <x:v>Cross-sector</x:v>
      </x:c>
      <x:c r="AH45" s="26" t="str">
        <x:v>Extension, training &amp; support</x:v>
      </x:c>
      <x:c r="AI45" s="26" t="str">
        <x:v>Digital service — unspecified stack</x:v>
      </x:c>
      <x:c r="AJ45" s="30" t="n">
        <x:f>IF(AF45="","",LEN(AF45)-LEN(SUBSTITUTE(AF45,";",""))+1)</x:f>
        <x:v>2</x:v>
      </x:c>
      <x:c r="AK45" s="26" t="str">
        <x:v>Not dedicated</x:v>
      </x:c>
    </x:row>
    <x:row r="46" ht="56" customHeight="1">
      <x:c r="A46" s="26" t="str">
        <x:v>D2-042</x:v>
      </x:c>
      <x:c r="B46" s="26" t="str">
        <x:v>Digital Farmers Program</x:v>
      </x:c>
      <x:c r="C46" s="26" t="str">
        <x:v>DFP</x:v>
      </x:c>
      <x:c r="D46" s="26" t="str">
        <x:v>DA-Agricultural Training Institute and Smart Communications</x:v>
      </x:c>
      <x:c r="E46" s="26" t="str">
        <x:v>Government–private partnership</x:v>
      </x:c>
      <x:c r="F46" s="26" t="str">
        <x:v>Cross-sector</x:v>
      </x:c>
      <x:c r="G46" s="26" t="str">
        <x:v>National / multi-region</x:v>
      </x:c>
      <x:c r="H46" s="26" t="str">
        <x:v>Training and adoption</x:v>
      </x:c>
      <x:c r="I46" s="26" t="str">
        <x:v>Information and advisory services</x:v>
      </x:c>
      <x:c r="J46" s="26" t="str">
        <x:v>Training, capacity &amp; innovation hubs</x:v>
      </x:c>
      <x:c r="K46" s="26" t="str">
        <x:v>Builds digital literacy and practical use of apps, e-commerce, payments and smart farming</x:v>
      </x:c>
      <x:c r="L46" s="26" t="str">
        <x:v>Ladderized face-to-face training plus digital tools</x:v>
      </x:c>
      <x:c r="M46" s="26" t="str">
        <x:v>Farmers, youth and extension workers</x:v>
      </x:c>
      <x:c r="N46" s="30" t="str">
        <x:v>Indirect</x:v>
      </x:c>
      <x:c r="O46" s="30" t="str">
        <x:v>Yes</x:v>
      </x:c>
      <x:c r="P46" s="30" t="str">
        <x:v>Indirect</x:v>
      </x:c>
      <x:c r="Q46" s="26" t="str">
        <x:v>Scaling / institutionalized</x:v>
      </x:c>
      <x:c r="R46" s="26" t="str">
        <x:v>Active / operational</x:v>
      </x:c>
      <x:c r="S46" s="26" t="str">
        <x:v>Ongoing regional cohorts in 2025; launched in 2019</x:v>
      </x:c>
      <x:c r="T46" s="26" t="str">
        <x:v>Directly addresses literacy and assisted adoption</x:v>
      </x:c>
      <x:c r="U46" s="26" t="str">
        <x:v>Coverage, post-training support, sustained use, device and connectivity gaps</x:v>
      </x:c>
      <x:c r="V46" s="26" t="str">
        <x:v>Participant data and telecom partnerships require transparent consent</x:v>
      </x:c>
      <x:c r="W46" s="26" t="str">
        <x:v>Adoption and capacity-building layer</x:v>
      </x:c>
      <x:c r="X46" s="30" t="str">
        <x:v>High</x:v>
      </x:c>
      <x:c r="Y46" s="26" t="str">
        <x:v>Create competency badges and link training to 30/90-day tool-use and outcome follow-up</x:v>
      </x:c>
      <x:c r="Z46" s="32" t="str">
        <x:v>https://ati2.da.gov.ph/ati-4a/content/DFPinBonPen</x:v>
      </x:c>
      <x:c r="AA46" s="32" t="str">
        <x:v>https://ati2.da.gov.ph/ati-car/content/article/bongbong-l-buli-e/digital-dawn-kalinga-rice-farmers-undergo-farm-learn-digital-technology</x:v>
      </x:c>
      <x:c r="AB46" s="30" t="str">
        <x:v>2026-07-11</x:v>
      </x:c>
      <x:c r="AC46" s="30" t="str">
        <x:v>High</x:v>
      </x:c>
      <x:c r="AD46" s="26"/>
      <x:c r="AE46" s="26" t="str">
        <x:v>Advisory &amp; e-extension; Markets, e-commerce &amp; logistics; Finance, insurance &amp; payments</x:v>
      </x:c>
      <x:c r="AF46" s="26" t="str">
        <x:v>Advisory &amp; e-extension; Markets, e-commerce &amp; logistics; Finance, insurance &amp; payments; Training, capacity &amp; innovation hubs</x:v>
      </x:c>
      <x:c r="AG46" s="26" t="str">
        <x:v>Cross-sector</x:v>
      </x:c>
      <x:c r="AH46" s="26" t="str">
        <x:v>Finance, insurance &amp; payments; Extension, training &amp; support</x:v>
      </x:c>
      <x:c r="AI46" s="26" t="str">
        <x:v>Digital service — unspecified stack</x:v>
      </x:c>
      <x:c r="AJ46" s="30" t="n">
        <x:f>IF(AF46="","",LEN(AF46)-LEN(SUBSTITUTE(AF46,";",""))+1)</x:f>
        <x:v>4</x:v>
      </x:c>
      <x:c r="AK46" s="26" t="str">
        <x:v>Not dedicated</x:v>
      </x:c>
    </x:row>
    <x:row r="47" ht="56" customHeight="1">
      <x:c r="A47" s="26" t="str">
        <x:v>D2-043</x:v>
      </x:c>
      <x:c r="B47" s="26" t="str">
        <x:v>FarmSmart</x:v>
      </x:c>
      <x:c r="C47" s="26" t="str">
        <x:v>FarmSmart</x:v>
      </x:c>
      <x:c r="D47" s="26" t="str">
        <x:v>Private / research partners reported in PIDS</x:v>
      </x:c>
      <x:c r="E47" s="26" t="str">
        <x:v>Private / partnership</x:v>
      </x:c>
      <x:c r="F47" s="26" t="str">
        <x:v>Multiple crops</x:v>
      </x:c>
      <x:c r="G47" s="26" t="str">
        <x:v>Philippines / project areas</x:v>
      </x:c>
      <x:c r="H47" s="26" t="str">
        <x:v>Farm management</x:v>
      </x:c>
      <x:c r="I47" s="26" t="str">
        <x:v>Information and advisory services</x:v>
      </x:c>
      <x:c r="J47" s="26" t="str">
        <x:v>Farm management &amp; decision support</x:v>
      </x:c>
      <x:c r="K47" s="26" t="str">
        <x:v>Digital farm-management and advisory platform</x:v>
      </x:c>
      <x:c r="L47" s="26" t="str">
        <x:v>Mobile and web platform</x:v>
      </x:c>
      <x:c r="M47" s="26" t="str">
        <x:v>Farmers and farm managers</x:v>
      </x:c>
      <x:c r="N47" s="30" t="str">
        <x:v>Yes</x:v>
      </x:c>
      <x:c r="O47" s="30" t="str">
        <x:v>Yes</x:v>
      </x:c>
      <x:c r="P47" s="30" t="str">
        <x:v>Indirect</x:v>
      </x:c>
      <x:c r="Q47" s="26" t="str">
        <x:v>Pilot / early commercial</x:v>
      </x:c>
      <x:c r="R47" s="26" t="str">
        <x:v>Status unverified</x:v>
      </x:c>
      <x:c r="S47" s="26" t="str">
        <x:v>Listed in the PIDS assessment</x:v>
      </x:c>
      <x:c r="T47" s="26" t="str">
        <x:v>Farm-level management orientation</x:v>
      </x:c>
      <x:c r="U47" s="26" t="str">
        <x:v>Current status, customer base, differentiation and outcome evidence</x:v>
      </x:c>
      <x:c r="V47" s="26" t="str">
        <x:v>Interfaces, data portability and governance are not public</x:v>
      </x:c>
      <x:c r="W47" s="26" t="str">
        <x:v>Potential external farm-management connector</x:v>
      </x:c>
      <x:c r="X47" s="30" t="str">
        <x:v>Low</x:v>
      </x:c>
      <x:c r="Y47" s="26" t="str">
        <x:v>Verify active product and farmer-controlled data export before integration</x:v>
      </x:c>
      <x:c r="Z47" s="32" t="str">
        <x:v>https://pidswebs.pids.gov.ph/CDN/document/pidsdps2329.pdf</x:v>
      </x:c>
      <x:c r="AA47" s="32"/>
      <x:c r="AB47" s="30" t="str">
        <x:v>2026-07-11</x:v>
      </x:c>
      <x:c r="AC47" s="30" t="str">
        <x:v>Low</x:v>
      </x:c>
      <x:c r="AD47" s="26"/>
      <x:c r="AE47" s="26" t="str">
        <x:v>Advisory &amp; e-extension</x:v>
      </x:c>
      <x:c r="AF47" s="26" t="str">
        <x:v>Advisory &amp; e-extension; Farm management &amp; decision support</x:v>
      </x:c>
      <x:c r="AG47" s="26" t="str">
        <x:v>Cross-sector</x:v>
      </x:c>
      <x:c r="AH47" s="26" t="str">
        <x:v>Production &amp; farm management; Extension, training &amp; support</x:v>
      </x:c>
      <x:c r="AI47" s="26" t="str">
        <x:v>Web / portal; Mobile / Android</x:v>
      </x:c>
      <x:c r="AJ47" s="30" t="n">
        <x:f>IF(AF47="","",LEN(AF47)-LEN(SUBSTITUTE(AF47,";",""))+1)</x:f>
        <x:v>2</x:v>
      </x:c>
      <x:c r="AK47" s="26" t="str">
        <x:v>Not dedicated</x:v>
      </x:c>
    </x:row>
    <x:row r="48" ht="56" customHeight="1">
      <x:c r="A48" s="26" t="str">
        <x:v>D2-044</x:v>
      </x:c>
      <x:c r="B48" s="26" t="str">
        <x:v>Fresh Depot / CropIn-enabled Farmer Support</x:v>
      </x:c>
      <x:c r="C48" s="26" t="str">
        <x:v>Fresh Depot</x:v>
      </x:c>
      <x:c r="D48" s="26" t="str">
        <x:v>Aboitiz Foundation / Pilmico and CropIn partners</x:v>
      </x:c>
      <x:c r="E48" s="26" t="str">
        <x:v>Private / foundation partnership</x:v>
      </x:c>
      <x:c r="F48" s="26" t="str">
        <x:v>High-value crops</x:v>
      </x:c>
      <x:c r="G48" s="26" t="str">
        <x:v>Mankayan, Benguet / project area</x:v>
      </x:c>
      <x:c r="H48" s="26" t="str">
        <x:v>Production and market support</x:v>
      </x:c>
      <x:c r="I48" s="26" t="str">
        <x:v>Information and advisory services</x:v>
      </x:c>
      <x:c r="J48" s="26" t="str">
        <x:v>Farm management &amp; decision support</x:v>
      </x:c>
      <x:c r="K48" s="26" t="str">
        <x:v>Digitized farmer and crop monitoring combined with market support</x:v>
      </x:c>
      <x:c r="L48" s="26" t="str">
        <x:v>Commercial farm-management platform and assisted field support</x:v>
      </x:c>
      <x:c r="M48" s="26" t="str">
        <x:v>Vegetable farmers, project managers and buyers</x:v>
      </x:c>
      <x:c r="N48" s="30" t="str">
        <x:v>Yes</x:v>
      </x:c>
      <x:c r="O48" s="30" t="str">
        <x:v>Yes</x:v>
      </x:c>
      <x:c r="P48" s="30" t="str">
        <x:v>Indirect</x:v>
      </x:c>
      <x:c r="Q48" s="26" t="str">
        <x:v>Pilot / implementation</x:v>
      </x:c>
      <x:c r="R48" s="26" t="str">
        <x:v>Status unverified</x:v>
      </x:c>
      <x:c r="S48" s="26" t="str">
        <x:v>Project documented in the PIDS review</x:v>
      </x:c>
      <x:c r="T48" s="26" t="str">
        <x:v>Combines digital records with value-chain support</x:v>
      </x:c>
      <x:c r="U48" s="26" t="str">
        <x:v>Post-project continuity, licensing, data ownership and replicability</x:v>
      </x:c>
      <x:c r="V48" s="26" t="str">
        <x:v>Vendor platform may be proprietary; farmer data portability must be explicit</x:v>
      </x:c>
      <x:c r="W48" s="26" t="str">
        <x:v>Case study and external connector</x:v>
      </x:c>
      <x:c r="X48" s="30" t="str">
        <x:v>Medium</x:v>
      </x:c>
      <x:c r="Y48" s="26" t="str">
        <x:v>Document data rights, costs, outcomes and replication conditions</x:v>
      </x:c>
      <x:c r="Z48" s="32" t="str">
        <x:v>https://pidswebs.pids.gov.ph/CDN/document/pidsdps2329.pdf</x:v>
      </x:c>
      <x:c r="AA48" s="32" t="str">
        <x:v>https://www.cropin.com/</x:v>
      </x:c>
      <x:c r="AB48" s="30" t="str">
        <x:v>2026-07-11</x:v>
      </x:c>
      <x:c r="AC48" s="30" t="str">
        <x:v>Medium</x:v>
      </x:c>
      <x:c r="AD48" s="26"/>
      <x:c r="AE48" s="26" t="str">
        <x:v>Advisory &amp; e-extension; Markets, e-commerce &amp; logistics</x:v>
      </x:c>
      <x:c r="AF48" s="26" t="str">
        <x:v>Advisory &amp; e-extension; Farm management &amp; decision support; Markets, e-commerce &amp; logistics</x:v>
      </x:c>
      <x:c r="AG48" s="26" t="str">
        <x:v>Agriculture — general</x:v>
      </x:c>
      <x:c r="AH48" s="26" t="str">
        <x:v>Production &amp; farm management; Markets &amp; trade; Extension, training &amp; support</x:v>
      </x:c>
      <x:c r="AI48" s="26" t="str">
        <x:v>Digital service — unspecified stack</x:v>
      </x:c>
      <x:c r="AJ48" s="30" t="n">
        <x:f>IF(AF48="","",LEN(AF48)-LEN(SUBSTITUTE(AF48,";",""))+1)</x:f>
        <x:v>3</x:v>
      </x:c>
      <x:c r="AK48" s="26" t="str">
        <x:v>Not dedicated</x:v>
      </x:c>
    </x:row>
    <x:row r="49" ht="56" customHeight="1">
      <x:c r="A49" s="26" t="str">
        <x:v>D2-045</x:v>
      </x:c>
      <x:c r="B49" s="26" t="str">
        <x:v>Gul.AI Plant Phenotyping Platform</x:v>
      </x:c>
      <x:c r="C49" s="26" t="str">
        <x:v>Gul.AI</x:v>
      </x:c>
      <x:c r="D49" s="26" t="str">
        <x:v>DOST-ASTI</x:v>
      </x:c>
      <x:c r="E49" s="26" t="str">
        <x:v>National research institute</x:v>
      </x:c>
      <x:c r="F49" s="26" t="str">
        <x:v>Controlled-environment crops and education</x:v>
      </x:c>
      <x:c r="G49" s="26" t="str">
        <x:v>Pilot institutions</x:v>
      </x:c>
      <x:c r="H49" s="26" t="str">
        <x:v>R&amp;D and crop monitoring</x:v>
      </x:c>
      <x:c r="I49" s="26" t="str">
        <x:v>Agricultural automation / smart farming</x:v>
      </x:c>
      <x:c r="J49" s="26" t="str">
        <x:v>Precision agriculture, EO, drones &amp; IoT</x:v>
      </x:c>
      <x:c r="K49" s="26" t="str">
        <x:v>IoT plant boxes collect pH, humidity, temperature, light and images for AI experiments</x:v>
      </x:c>
      <x:c r="L49" s="26" t="str">
        <x:v>IoT sensors, cloud, AI and mobile control</x:v>
      </x:c>
      <x:c r="M49" s="26" t="str">
        <x:v>Schools, universities and researchers</x:v>
      </x:c>
      <x:c r="N49" s="30" t="str">
        <x:v>Indirect</x:v>
      </x:c>
      <x:c r="O49" s="30" t="str">
        <x:v>Yes</x:v>
      </x:c>
      <x:c r="P49" s="30" t="str">
        <x:v>Indirect</x:v>
      </x:c>
      <x:c r="Q49" s="26" t="str">
        <x:v>Prototype / pilot</x:v>
      </x:c>
      <x:c r="R49" s="26" t="str">
        <x:v>Pilot / prototype</x:v>
      </x:c>
      <x:c r="S49" s="26" t="str">
        <x:v>Pilot orientation toward science schools and crop-science departments</x:v>
      </x:c>
      <x:c r="T49" s="26" t="str">
        <x:v>Integrated local hardware, sensing, AI and education</x:v>
      </x:c>
      <x:c r="U49" s="26" t="str">
        <x:v>Hardware maintenance, calibration, unit cost and scale beyond laboratories</x:v>
      </x:c>
      <x:c r="V49" s="26" t="str">
        <x:v>Sensor and image schemas and access policies are not public</x:v>
      </x:c>
      <x:c r="W49" s="26" t="str">
        <x:v>R&amp;D sandbox and sensor testbed</x:v>
      </x:c>
      <x:c r="X49" s="30" t="str">
        <x:v>Medium</x:v>
      </x:c>
      <x:c r="Y49" s="26" t="str">
        <x:v>Register device schemas and use as a controlled-environment interoperability case</x:v>
      </x:c>
      <x:c r="Z49" s="32" t="str">
        <x:v>https://asti.dost.gov.ph/communications/angsurian/2019/project-gul-ai-promoting-ai-technology-in-agriculture/</x:v>
      </x:c>
      <x:c r="AA49" s="32"/>
      <x:c r="AB49" s="30" t="str">
        <x:v>2026-07-11</x:v>
      </x:c>
      <x:c r="AC49" s="30" t="str">
        <x:v>High</x:v>
      </x:c>
      <x:c r="AD49" s="26"/>
      <x:c r="AE49" s="26" t="str"/>
      <x:c r="AF49" s="26" t="str">
        <x:v>Precision agriculture, EO, drones &amp; IoT</x:v>
      </x:c>
      <x:c r="AG49" s="26" t="str">
        <x:v>Agriculture — general</x:v>
      </x:c>
      <x:c r="AH49" s="26" t="str">
        <x:v>Production &amp; farm management</x:v>
      </x:c>
      <x:c r="AI49" s="26" t="str">
        <x:v>Mobile / Android; IoT / sensors; Cloud / hosted service</x:v>
      </x:c>
      <x:c r="AJ49" s="30" t="n">
        <x:f>IF(AF49="","",LEN(AF49)-LEN(SUBSTITUTE(AF49,";",""))+1)</x:f>
        <x:v>1</x:v>
      </x:c>
      <x:c r="AK49" s="26" t="str">
        <x:v>Not dedicated</x:v>
      </x:c>
    </x:row>
    <x:row r="50" ht="56" customHeight="1">
      <x:c r="A50" s="26" t="str">
        <x:v>D2-046</x:v>
      </x:c>
      <x:c r="B50" s="26" t="str">
        <x:v>arQ / PhilSensors Remote Data Acquisition Platform</x:v>
      </x:c>
      <x:c r="C50" s="26" t="str">
        <x:v>arQ / PhilSensors</x:v>
      </x:c>
      <x:c r="D50" s="26" t="str">
        <x:v>DOST-ASTI</x:v>
      </x:c>
      <x:c r="E50" s="26" t="str">
        <x:v>National research institute</x:v>
      </x:c>
      <x:c r="F50" s="26" t="str">
        <x:v>Environment and agriculture</x:v>
      </x:c>
      <x:c r="G50" s="26" t="str">
        <x:v>National / project deployments</x:v>
      </x:c>
      <x:c r="H50" s="26" t="str">
        <x:v>Remote sensing and monitoring</x:v>
      </x:c>
      <x:c r="I50" s="26" t="str">
        <x:v>Agricultural automation / smart farming</x:v>
      </x:c>
      <x:c r="J50" s="26" t="str">
        <x:v>Precision agriculture, EO, drones &amp; IoT</x:v>
      </x:c>
      <x:c r="K50" s="26" t="str">
        <x:v>Remote data acquisition using LTE/LoRa with device-health monitoring</x:v>
      </x:c>
      <x:c r="L50" s="26" t="str">
        <x:v>IoT hardware, communications and dashboard</x:v>
      </x:c>
      <x:c r="M50" s="26" t="str">
        <x:v>Government, researchers and remote asset operators</x:v>
      </x:c>
      <x:c r="N50" s="30" t="str">
        <x:v>Indirect</x:v>
      </x:c>
      <x:c r="O50" s="30" t="str">
        <x:v>Yes</x:v>
      </x:c>
      <x:c r="P50" s="30" t="str">
        <x:v>Indirect</x:v>
      </x:c>
      <x:c r="Q50" s="26" t="str">
        <x:v>Technology developed / adaptable</x:v>
      </x:c>
      <x:c r="R50" s="26" t="str">
        <x:v>Active / operational R&amp;D platform</x:v>
      </x:c>
      <x:c r="S50" s="26" t="str">
        <x:v>arQ 2.0 field integration and tests concluded in 2024</x:v>
      </x:c>
      <x:c r="T50" s="26" t="str">
        <x:v>Locally developed hardware and remote connectivity</x:v>
      </x:c>
      <x:c r="U50" s="26" t="str">
        <x:v>Commercial support, calibration, ruggedization, power and maintenance</x:v>
      </x:c>
      <x:c r="V50" s="26" t="str">
        <x:v>Open sensor schemas, device identity and APIs should be published</x:v>
      </x:c>
      <x:c r="W50" s="26" t="str">
        <x:v>Device gateway and sensor feed</x:v>
      </x:c>
      <x:c r="X50" s="30" t="str">
        <x:v>High</x:v>
      </x:c>
      <x:c r="Y50" s="26" t="str">
        <x:v>Adopt common observations, calibration and service-level metadata</x:v>
      </x:c>
      <x:c r="Z50" s="32" t="str">
        <x:v>https://asti.dost.gov.ph/wp-content/uploads/2024-DOST-ASTI-Annual-Report.pdf</x:v>
      </x:c>
      <x:c r="AA50" s="32"/>
      <x:c r="AB50" s="30" t="str">
        <x:v>2026-07-11</x:v>
      </x:c>
      <x:c r="AC50" s="30" t="str">
        <x:v>High</x:v>
      </x:c>
      <x:c r="AD50" s="26"/>
      <x:c r="AE50" s="26" t="str">
        <x:v>Data infrastructure, interoperability &amp; dashboards</x:v>
      </x:c>
      <x:c r="AF50" s="26" t="str">
        <x:v>Precision agriculture, EO, drones &amp; IoT; Data infrastructure, interoperability &amp; dashboards</x:v>
      </x:c>
      <x:c r="AG50" s="26" t="str">
        <x:v>Agriculture — general</x:v>
      </x:c>
      <x:c r="AH50" s="26" t="str">
        <x:v>Production &amp; farm management</x:v>
      </x:c>
      <x:c r="AI50" s="26" t="str">
        <x:v>Dashboard / analytics; IoT / sensors</x:v>
      </x:c>
      <x:c r="AJ50" s="30" t="n">
        <x:f>IF(AF50="","",LEN(AF50)-LEN(SUBSTITUTE(AF50,";",""))+1)</x:f>
        <x:v>2</x:v>
      </x:c>
      <x:c r="AK50" s="26" t="str">
        <x:v>Not dedicated</x:v>
      </x:c>
    </x:row>
    <x:row r="51" ht="56" customHeight="1">
      <x:c r="A51" s="26" t="str">
        <x:v>D2-047</x:v>
      </x:c>
      <x:c r="B51" s="26" t="str">
        <x:v>Smart Aquafarm Feeder and Monitoring System in Highly Turbid Conditions</x:v>
      </x:c>
      <x:c r="C51" s="26" t="str">
        <x:v>SAqFeeder</x:v>
      </x:c>
      <x:c r="D51" s="26" t="str">
        <x:v>DOST-ASTI and partners</x:v>
      </x:c>
      <x:c r="E51" s="26" t="str">
        <x:v>National research institute / industry partnership</x:v>
      </x:c>
      <x:c r="F51" s="26" t="str">
        <x:v>Aquaculture</x:v>
      </x:c>
      <x:c r="G51" s="26" t="str">
        <x:v>Partner aquafarms</x:v>
      </x:c>
      <x:c r="H51" s="26" t="str">
        <x:v>Feeding and production</x:v>
      </x:c>
      <x:c r="I51" s="26" t="str">
        <x:v>Research / prototype</x:v>
      </x:c>
      <x:c r="J51" s="26" t="str">
        <x:v>Fisheries &amp; aquaculture</x:v>
      </x:c>
      <x:c r="K51" s="26" t="str">
        <x:v>Optimizes feeding using computer vision, auditory filtering and automated actuation</x:v>
      </x:c>
      <x:c r="L51" s="26" t="str">
        <x:v>AI, sensors and automated feeder</x:v>
      </x:c>
      <x:c r="M51" s="26" t="str">
        <x:v>Aquaculture farms and researchers</x:v>
      </x:c>
      <x:c r="N51" s="30" t="str">
        <x:v>Yes</x:v>
      </x:c>
      <x:c r="O51" s="30" t="str">
        <x:v>Yes</x:v>
      </x:c>
      <x:c r="P51" s="30" t="str">
        <x:v>Indirect</x:v>
      </x:c>
      <x:c r="Q51" s="26" t="str">
        <x:v>Development / pilot</x:v>
      </x:c>
      <x:c r="R51" s="26" t="str">
        <x:v>Project ongoing</x:v>
      </x:c>
      <x:c r="S51" s="26" t="str">
        <x:v>Official project period October 2024–December 2026</x:v>
      </x:c>
      <x:c r="T51" s="26" t="str">
        <x:v>Targets feed efficiency under difficult turbid conditions</x:v>
      </x:c>
      <x:c r="U51" s="26" t="str">
        <x:v>Reliability, fouling, cost, species transferability and maintenance</x:v>
      </x:c>
      <x:c r="V51" s="26" t="str">
        <x:v>Farm production data are sensitive; device and event schemas need standards</x:v>
      </x:c>
      <x:c r="W51" s="26" t="str">
        <x:v>Aquaculture device feed and pilot</x:v>
      </x:c>
      <x:c r="X51" s="30" t="str">
        <x:v>Medium</x:v>
      </x:c>
      <x:c r="Y51" s="26" t="str">
        <x:v>Track feed conversion, water conditions, cost and maintenance in a common pilot record</x:v>
      </x:c>
      <x:c r="Z51" s="32" t="str">
        <x:v>https://asti.dost.gov.ph/wp-content/uploads/ASTI-PPAs-2026-v2-FDL_17-June-26.pdf</x:v>
      </x:c>
      <x:c r="AA51" s="32"/>
      <x:c r="AB51" s="30" t="str">
        <x:v>2026-07-11</x:v>
      </x:c>
      <x:c r="AC51" s="30" t="str">
        <x:v>High</x:v>
      </x:c>
      <x:c r="AD51" s="26"/>
      <x:c r="AE51" s="26" t="str">
        <x:v>Precision agriculture, EO, drones &amp; IoT</x:v>
      </x:c>
      <x:c r="AF51" s="26" t="str">
        <x:v>Precision agriculture, EO, drones &amp; IoT; Fisheries &amp; aquaculture</x:v>
      </x:c>
      <x:c r="AG51" s="26" t="str">
        <x:v>Fisheries &amp; aquaculture</x:v>
      </x:c>
      <x:c r="AH51" s="26" t="str">
        <x:v>R&amp;D, breeding &amp; genetic resources; Inputs, seed &amp; feed; Production &amp; farm management</x:v>
      </x:c>
      <x:c r="AI51" s="26" t="str">
        <x:v>IoT / sensors; AI / ML / computer vision</x:v>
      </x:c>
      <x:c r="AJ51" s="30" t="n">
        <x:f>IF(AF51="","",LEN(AF51)-LEN(SUBSTITUTE(AF51,";",""))+1)</x:f>
        <x:v>2</x:v>
      </x:c>
      <x:c r="AK51" s="26" t="str">
        <x:v>Not dedicated</x:v>
      </x:c>
    </x:row>
    <x:row r="52" ht="56" customHeight="1">
      <x:c r="A52" s="26" t="str">
        <x:v>D2-048</x:v>
      </x:c>
      <x:c r="B52" s="26" t="str">
        <x:v>Aquaculture Wireless Ammonia Sensor Network for IoT Application</x:v>
      </x:c>
      <x:c r="C52" s="26" t="str">
        <x:v>AqWANetIO</x:v>
      </x:c>
      <x:c r="D52" s="26" t="str">
        <x:v>DOST-ASTI and partners</x:v>
      </x:c>
      <x:c r="E52" s="26" t="str">
        <x:v>National research institute / partnership</x:v>
      </x:c>
      <x:c r="F52" s="26" t="str">
        <x:v>Aquaculture</x:v>
      </x:c>
      <x:c r="G52" s="26" t="str">
        <x:v>Philippines / pilot farms</x:v>
      </x:c>
      <x:c r="H52" s="26" t="str">
        <x:v>Water quality and production</x:v>
      </x:c>
      <x:c r="I52" s="26" t="str">
        <x:v>Research / prototype</x:v>
      </x:c>
      <x:c r="J52" s="26" t="str">
        <x:v>Fisheries &amp; aquaculture</x:v>
      </x:c>
      <x:c r="K52" s="26" t="str">
        <x:v>Real-time ammonia sensor networks with IoT edge computing and long-range communication</x:v>
      </x:c>
      <x:c r="L52" s="26" t="str">
        <x:v>Sensors, edge computing and long-range communications</x:v>
      </x:c>
      <x:c r="M52" s="26" t="str">
        <x:v>Fish and shrimp farms and environmental managers</x:v>
      </x:c>
      <x:c r="N52" s="30" t="str">
        <x:v>Yes</x:v>
      </x:c>
      <x:c r="O52" s="30" t="str">
        <x:v>Yes</x:v>
      </x:c>
      <x:c r="P52" s="30" t="str">
        <x:v>Indirect</x:v>
      </x:c>
      <x:c r="Q52" s="26" t="str">
        <x:v>Development / pilot</x:v>
      </x:c>
      <x:c r="R52" s="26" t="str">
        <x:v>Project ongoing</x:v>
      </x:c>
      <x:c r="S52" s="26" t="str">
        <x:v>Official project period September 2025–August 2028</x:v>
      </x:c>
      <x:c r="T52" s="26" t="str">
        <x:v>Addresses a high-value water-quality parameter</x:v>
      </x:c>
      <x:c r="U52" s="26" t="str">
        <x:v>Calibration, fouling, durability, connectivity, cost and alert actions</x:v>
      </x:c>
      <x:c r="V52" s="26" t="str">
        <x:v>Use open observations, calibration, alert and maintenance records</x:v>
      </x:c>
      <x:c r="W52" s="26" t="str">
        <x:v>Aquaculture sensor feed and pilot</x:v>
      </x:c>
      <x:c r="X52" s="30" t="str">
        <x:v>High</x:v>
      </x:c>
      <x:c r="Y52" s="26" t="str">
        <x:v>Design APIs and governance early; validate multi-season reliability and farm economics</x:v>
      </x:c>
      <x:c r="Z52" s="32" t="str">
        <x:v>https://asti.dost.gov.ph/wp-content/uploads/ASTI-PPAs-2026-v2-FDL_17-June-26.pdf</x:v>
      </x:c>
      <x:c r="AA52" s="32"/>
      <x:c r="AB52" s="30" t="str">
        <x:v>2026-07-11</x:v>
      </x:c>
      <x:c r="AC52" s="30" t="str">
        <x:v>High</x:v>
      </x:c>
      <x:c r="AD52" s="26"/>
      <x:c r="AE52" s="26" t="str">
        <x:v>Precision agriculture, EO, drones &amp; IoT</x:v>
      </x:c>
      <x:c r="AF52" s="26" t="str">
        <x:v>Precision agriculture, EO, drones &amp; IoT; Fisheries &amp; aquaculture</x:v>
      </x:c>
      <x:c r="AG52" s="26" t="str">
        <x:v>Fisheries &amp; aquaculture</x:v>
      </x:c>
      <x:c r="AH52" s="26" t="str">
        <x:v>R&amp;D, breeding &amp; genetic resources; Production &amp; farm management; Processing &amp; quality</x:v>
      </x:c>
      <x:c r="AI52" s="26" t="str">
        <x:v>IoT / sensors</x:v>
      </x:c>
      <x:c r="AJ52" s="30" t="n">
        <x:f>IF(AF52="","",LEN(AF52)-LEN(SUBSTITUTE(AF52,";",""))+1)</x:f>
        <x:v>2</x:v>
      </x:c>
      <x:c r="AK52" s="26" t="str">
        <x:v>Not dedicated</x:v>
      </x:c>
    </x:row>
    <x:row r="53" ht="56" customHeight="1">
      <x:c r="A53" s="26" t="str">
        <x:v>D2-049</x:v>
      </x:c>
      <x:c r="B53" s="26" t="str">
        <x:v>Smart Water Irrigation for Rice Farming through IoT</x:v>
      </x:c>
      <x:c r="C53" s="26" t="str">
        <x:v>SWIRF-IoT</x:v>
      </x:c>
      <x:c r="D53" s="26" t="str">
        <x:v>Philippine academic researchers</x:v>
      </x:c>
      <x:c r="E53" s="26" t="str">
        <x:v>SUC / research team</x:v>
      </x:c>
      <x:c r="F53" s="26" t="str">
        <x:v>Rice and irrigation</x:v>
      </x:c>
      <x:c r="G53" s="26" t="str">
        <x:v>Prototype site(s)</x:v>
      </x:c>
      <x:c r="H53" s="26" t="str">
        <x:v>Irrigation and production</x:v>
      </x:c>
      <x:c r="I53" s="26" t="str">
        <x:v>Research / prototype</x:v>
      </x:c>
      <x:c r="J53" s="26" t="str">
        <x:v>Precision agriculture, EO, drones &amp; IoT</x:v>
      </x:c>
      <x:c r="K53" s="26" t="str">
        <x:v>Prototype IoT monitoring and control of water in rice production</x:v>
      </x:c>
      <x:c r="L53" s="26" t="str">
        <x:v>Sensors, controllers and web/mobile interface</x:v>
      </x:c>
      <x:c r="M53" s="26" t="str">
        <x:v>Rice farmers and researchers</x:v>
      </x:c>
      <x:c r="N53" s="30" t="str">
        <x:v>Yes</x:v>
      </x:c>
      <x:c r="O53" s="30" t="str">
        <x:v>Yes</x:v>
      </x:c>
      <x:c r="P53" s="30" t="str">
        <x:v>Yes</x:v>
      </x:c>
      <x:c r="Q53" s="26" t="str">
        <x:v>Prototype</x:v>
      </x:c>
      <x:c r="R53" s="26" t="str">
        <x:v>Pilot / prototype</x:v>
      </x:c>
      <x:c r="S53" s="26" t="str">
        <x:v>Published as a research prototype in 2024</x:v>
      </x:c>
      <x:c r="T53" s="26" t="str">
        <x:v>Clear water-management and CSA use case</x:v>
      </x:c>
      <x:c r="U53" s="26" t="str">
        <x:v>Small validation scale, hardware reliability, connectivity, safety and service model</x:v>
      </x:c>
      <x:c r="V53" s="26" t="str">
        <x:v>Architecture and data governance are not established</x:v>
      </x:c>
      <x:c r="W53" s="26" t="str">
        <x:v>Research sandbox and candidate pilot</x:v>
      </x:c>
      <x:c r="X53" s="30" t="str">
        <x:v>Medium</x:v>
      </x:c>
      <x:c r="Y53" s="26" t="str">
        <x:v>Require multi-season validation, total-cost analysis, fail-safe controls and open schemas</x:v>
      </x:c>
      <x:c r="Z53" s="32" t="str">
        <x:v>https://arxiv.org/abs/2402.07917</x:v>
      </x:c>
      <x:c r="AA53" s="32" t="str">
        <x:v>https://www.researchgate.net/profile/Joenil-Frayco/publication/392274343_A_Review_of_Digital_Technologies_in_Plant_Disease_and_Pest_Management_within_Philippine_Agriculture/links/687f329fb3294610e9b8f317/A-Review-of-Digital-Technologies-in-Plant-Disease-and-Pest-Management-within-Philippine_Agriculture.pdf</x:v>
      </x:c>
      <x:c r="AB53" s="30" t="str">
        <x:v>2026-07-11</x:v>
      </x:c>
      <x:c r="AC53" s="30" t="str">
        <x:v>Medium</x:v>
      </x:c>
      <x:c r="AD53" s="26"/>
      <x:c r="AE53" s="26" t="str"/>
      <x:c r="AF53" s="26" t="str">
        <x:v>Precision agriculture, EO, drones &amp; IoT</x:v>
      </x:c>
      <x:c r="AG53" s="26" t="str">
        <x:v>Rice / palay</x:v>
      </x:c>
      <x:c r="AH53" s="26" t="str">
        <x:v>R&amp;D, breeding &amp; genetic resources; Production &amp; farm management; Irrigation &amp; water management</x:v>
      </x:c>
      <x:c r="AI53" s="26" t="str">
        <x:v>Web / portal; Mobile / Android; IoT / sensors</x:v>
      </x:c>
      <x:c r="AJ53" s="30" t="n">
        <x:f>IF(AF53="","",LEN(AF53)-LEN(SUBSTITUTE(AF53,";",""))+1)</x:f>
        <x:v>1</x:v>
      </x:c>
      <x:c r="AK53" s="26" t="str">
        <x:v>Not dedicated</x:v>
      </x:c>
    </x:row>
    <x:row r="54" ht="56" customHeight="1">
      <x:c r="A54" s="26" t="str">
        <x:v>D2-050</x:v>
      </x:c>
      <x:c r="B54" s="26" t="str">
        <x:v>FASTRAC Banana Drone Mapping and Field Analytics</x:v>
      </x:c>
      <x:c r="C54" s="26" t="str">
        <x:v>FASTRAC / ASIMOV-HAWKS</x:v>
      </x:c>
      <x:c r="D54" s="26" t="str">
        <x:v>DOST-ASTI / DOST-PCIEERD and industry partners</x:v>
      </x:c>
      <x:c r="E54" s="26" t="str">
        <x:v>National research institute / industry partnership</x:v>
      </x:c>
      <x:c r="F54" s="26" t="str">
        <x:v>Banana</x:v>
      </x:c>
      <x:c r="G54" s="26" t="str">
        <x:v>Philippine pilot farms and plantations</x:v>
      </x:c>
      <x:c r="H54" s="26" t="str">
        <x:v>Crop monitoring and management</x:v>
      </x:c>
      <x:c r="I54" s="26" t="str">
        <x:v>Research / prototype</x:v>
      </x:c>
      <x:c r="J54" s="26" t="str">
        <x:v>Precision agriculture, EO, drones &amp; IoT</x:v>
      </x:c>
      <x:c r="K54" s="26" t="str">
        <x:v>Integrates drone mapping, field validation and analytics for site-specific banana monitoring</x:v>
      </x:c>
      <x:c r="L54" s="26" t="str">
        <x:v>UAV imagery, field data and analytics</x:v>
      </x:c>
      <x:c r="M54" s="26" t="str">
        <x:v>Banana farms, plantations and LGUs</x:v>
      </x:c>
      <x:c r="N54" s="30" t="str">
        <x:v>Yes</x:v>
      </x:c>
      <x:c r="O54" s="30" t="str">
        <x:v>Yes</x:v>
      </x:c>
      <x:c r="P54" s="30" t="str">
        <x:v>Indirect</x:v>
      </x:c>
      <x:c r="Q54" s="26" t="str">
        <x:v>Validation / pre-commercial</x:v>
      </x:c>
      <x:c r="R54" s="26" t="str">
        <x:v>Project ongoing</x:v>
      </x:c>
      <x:c r="S54" s="26" t="str">
        <x:v>Official project period January 2026–January 2028</x:v>
      </x:c>
      <x:c r="T54" s="26" t="str">
        <x:v>Explicit real-world validation and operational decision support</x:v>
      </x:c>
      <x:c r="U54" s="26" t="str">
        <x:v>Model transferability, ground data, imagery cost, workflow and business model</x:v>
      </x:c>
      <x:c r="V54" s="26" t="str">
        <x:v>High-resolution imagery and commercial farm data require clear ownership</x:v>
      </x:c>
      <x:c r="W54" s="26" t="str">
        <x:v>Crop-monitoring analytics and pilot</x:v>
      </x:c>
      <x:c r="X54" s="30" t="str">
        <x:v>High</x:v>
      </x:c>
      <x:c r="Y54" s="26" t="str">
        <x:v>Capture model versions, provenance, validation, recommendations and business-case evidence</x:v>
      </x:c>
      <x:c r="Z54" s="32" t="str">
        <x:v>https://asti.dost.gov.ph/wp-content/uploads/ASTI-PPAs-2026-v2-FDL_17-June-26.pdf</x:v>
      </x:c>
      <x:c r="AA54" s="32"/>
      <x:c r="AB54" s="30" t="str">
        <x:v>2026-07-11</x:v>
      </x:c>
      <x:c r="AC54" s="30" t="str">
        <x:v>High</x:v>
      </x:c>
      <x:c r="AD54" s="26"/>
      <x:c r="AE54" s="26" t="str">
        <x:v>Data infrastructure, interoperability &amp; dashboards</x:v>
      </x:c>
      <x:c r="AF54" s="26" t="str">
        <x:v>Precision agriculture, EO, drones &amp; IoT; Data infrastructure, interoperability &amp; dashboards</x:v>
      </x:c>
      <x:c r="AG54" s="26" t="str">
        <x:v>Banana</x:v>
      </x:c>
      <x:c r="AH54" s="26" t="str">
        <x:v>R&amp;D, breeding &amp; genetic resources; Production &amp; farm management</x:v>
      </x:c>
      <x:c r="AI54" s="26" t="str">
        <x:v>Dashboard / analytics; GIS / WebGIS; UAV / drone</x:v>
      </x:c>
      <x:c r="AJ54" s="30" t="n">
        <x:f>IF(AF54="","",LEN(AF54)-LEN(SUBSTITUTE(AF54,";",""))+1)</x:f>
        <x:v>2</x:v>
      </x:c>
      <x:c r="AK54" s="26" t="str">
        <x:v>Not dedicated</x:v>
      </x:c>
    </x:row>
    <x:row r="55" ht="56" customHeight="1">
      <x:c r="A55" s="26" t="str">
        <x:v>D2-051</x:v>
      </x:c>
      <x:c r="B55" s="26" t="str">
        <x:v>AgriDOM Digital Agriculture and Drone Services Platform</x:v>
      </x:c>
      <x:c r="C55" s="26" t="str">
        <x:v>AgriDOM</x:v>
      </x:c>
      <x:c r="D55" s="26" t="str">
        <x:v>AgriDOM Solutions Corporation</x:v>
      </x:c>
      <x:c r="E55" s="26" t="str">
        <x:v>Private company</x:v>
      </x:c>
      <x:c r="F55" s="26" t="str">
        <x:v>Multiple crops</x:v>
      </x:c>
      <x:c r="G55" s="26" t="str">
        <x:v>Multi-region Philippines</x:v>
      </x:c>
      <x:c r="H55" s="26" t="str">
        <x:v>Mechanization, production and mapping</x:v>
      </x:c>
      <x:c r="I55" s="26" t="str">
        <x:v>Agricultural automation / smart farming</x:v>
      </x:c>
      <x:c r="J55" s="26" t="str">
        <x:v>Mechanization &amp; equipment-as-a-service</x:v>
      </x:c>
      <x:c r="K55" s="26" t="str">
        <x:v>Drone spraying, direct seeding, mapping, training and digital service records</x:v>
      </x:c>
      <x:c r="L55" s="26" t="str">
        <x:v>Agricultural drones, platform and service network</x:v>
      </x:c>
      <x:c r="M55" s="26" t="str">
        <x:v>Farmers, FCAs, plantations, LGUs and DA programs</x:v>
      </x:c>
      <x:c r="N55" s="30" t="str">
        <x:v>Yes</x:v>
      </x:c>
      <x:c r="O55" s="30" t="str">
        <x:v>Yes</x:v>
      </x:c>
      <x:c r="P55" s="30" t="str">
        <x:v>Yes</x:v>
      </x:c>
      <x:c r="Q55" s="26" t="str">
        <x:v>Commercial / scaling</x:v>
      </x:c>
      <x:c r="R55" s="26" t="str">
        <x:v>Active / operational</x:v>
      </x:c>
      <x:c r="S55" s="26" t="str">
        <x:v>Active 2025 operations and government demonstrations documented</x:v>
      </x:c>
      <x:c r="T55" s="26" t="str">
        <x:v>Operational service delivery and provider network</x:v>
      </x:c>
      <x:c r="U55" s="26" t="str">
        <x:v>Unit economics, demand aggregation, regulation, safety and independent evidence</x:v>
      </x:c>
      <x:c r="V55" s="26" t="str">
        <x:v>Farm maps, spray records and customer data need portability and consent</x:v>
      </x:c>
      <x:c r="W55" s="26" t="str">
        <x:v>Service marketplace and drone-data connector</x:v>
      </x:c>
      <x:c r="X55" s="30" t="str">
        <x:v>High</x:v>
      </x:c>
      <x:c r="Y55" s="26" t="str">
        <x:v>Register accredited providers and standardize service, price, map, application and safety records</x:v>
      </x:c>
      <x:c r="Z55" s="32" t="str">
        <x:v>https://agridomcorp.com/</x:v>
      </x:c>
      <x:c r="AA55" s="32" t="str">
        <x:v>https://bworldonline.com/bw-launchpad/2025/07/02/682592/agridom-promotes-smart-farming-with-drones/</x:v>
      </x:c>
      <x:c r="AB55" s="30" t="str">
        <x:v>2026-07-11</x:v>
      </x:c>
      <x:c r="AC55" s="30" t="str">
        <x:v>High</x:v>
      </x:c>
      <x:c r="AD55" s="26"/>
      <x:c r="AE55" s="26" t="str">
        <x:v>Precision agriculture, EO, drones &amp; IoT; Inputs, seed &amp; nutrient tools; Markets, e-commerce &amp; logistics</x:v>
      </x:c>
      <x:c r="AF55" s="26" t="str">
        <x:v>Precision agriculture, EO, drones &amp; IoT; Inputs, seed &amp; nutrient tools; Mechanization &amp; equipment-as-a-service; Markets, e-commerce &amp; logistics</x:v>
      </x:c>
      <x:c r="AG55" s="26" t="str">
        <x:v>Cross-sector; Seeds / germplasm / breeds</x:v>
      </x:c>
      <x:c r="AH55" s="26" t="str">
        <x:v>Inputs, seed &amp; feed; Production &amp; farm management; Extension, training &amp; support</x:v>
      </x:c>
      <x:c r="AI55" s="26" t="str">
        <x:v>GIS / WebGIS; UAV / drone</x:v>
      </x:c>
      <x:c r="AJ55" s="30" t="n">
        <x:f>IF(AF55="","",LEN(AF55)-LEN(SUBSTITUTE(AF55,";",""))+1)</x:f>
        <x:v>4</x:v>
      </x:c>
      <x:c r="AK55" s="26" t="str">
        <x:v>Not dedicated</x:v>
      </x:c>
    </x:row>
    <x:row r="56" ht="56" customHeight="1">
      <x:c r="A56" s="26" t="str">
        <x:v>D2-052</x:v>
      </x:c>
      <x:c r="B56" s="26" t="str">
        <x:v>Del Monte Philippines Drone Mapping Platforms</x:v>
      </x:c>
      <x:c r="C56" s="26" t="str">
        <x:v>DMPI Drone Mapping</x:v>
      </x:c>
      <x:c r="D56" s="26" t="str">
        <x:v>Del Monte Philippines and technology partners</x:v>
      </x:c>
      <x:c r="E56" s="26" t="str">
        <x:v>Private agribusiness</x:v>
      </x:c>
      <x:c r="F56" s="26" t="str">
        <x:v>Pineapple</x:v>
      </x:c>
      <x:c r="G56" s="26" t="str">
        <x:v>Plantation areas</x:v>
      </x:c>
      <x:c r="H56" s="26" t="str">
        <x:v>Precision crop monitoring</x:v>
      </x:c>
      <x:c r="I56" s="26" t="str">
        <x:v>Agricultural automation / smart farming</x:v>
      </x:c>
      <x:c r="J56" s="26" t="str">
        <x:v>Precision agriculture, EO, drones &amp; IoT</x:v>
      </x:c>
      <x:c r="K56" s="26" t="str">
        <x:v>Uses drone mapping for plantation monitoring and operational decisions</x:v>
      </x:c>
      <x:c r="L56" s="26" t="str">
        <x:v>UAV and geospatial analytics</x:v>
      </x:c>
      <x:c r="M56" s="26" t="str">
        <x:v>Plantation managers and agronomists</x:v>
      </x:c>
      <x:c r="N56" s="30" t="str">
        <x:v>Yes</x:v>
      </x:c>
      <x:c r="O56" s="30" t="str">
        <x:v>Yes</x:v>
      </x:c>
      <x:c r="P56" s="30" t="str">
        <x:v>Indirect</x:v>
      </x:c>
      <x:c r="Q56" s="26" t="str">
        <x:v>Commercial / internal</x:v>
      </x:c>
      <x:c r="R56" s="26" t="str">
        <x:v>Active / operational</x:v>
      </x:c>
      <x:c r="S56" s="26" t="str">
        <x:v>Highlighted at ICTforAg Philippines in 2024</x:v>
      </x:c>
      <x:c r="T56" s="26" t="str">
        <x:v>Strong enterprise incentive and operational use</x:v>
      </x:c>
      <x:c r="U56" s="26" t="str">
        <x:v>Proprietary data, limited public evidence and smallholder transferability</x:v>
      </x:c>
      <x:c r="V56" s="26" t="str">
        <x:v>Commercial imagery and operations data are sensitive and likely proprietary</x:v>
      </x:c>
      <x:c r="W56" s="26" t="str">
        <x:v>Private-sector benchmark / optional connector</x:v>
      </x:c>
      <x:c r="X56" s="30" t="str">
        <x:v>Low</x:v>
      </x:c>
      <x:c r="Y56" s="26" t="str">
        <x:v>Treat as a case study unless voluntary governed data or service interfaces are offered</x:v>
      </x:c>
      <x:c r="Z56" s="32" t="str">
        <x:v>https://www.irri.org/news-and-events/news/philippines-stakeholders-are-charting-future-digital-agriculture</x:v>
      </x:c>
      <x:c r="AA56" s="32"/>
      <x:c r="AB56" s="30" t="str">
        <x:v>2026-07-11</x:v>
      </x:c>
      <x:c r="AC56" s="30" t="str">
        <x:v>Medium</x:v>
      </x:c>
      <x:c r="AD56" s="26"/>
      <x:c r="AE56" s="26" t="str">
        <x:v>Data infrastructure, interoperability &amp; dashboards</x:v>
      </x:c>
      <x:c r="AF56" s="26" t="str">
        <x:v>Precision agriculture, EO, drones &amp; IoT; Data infrastructure, interoperability &amp; dashboards</x:v>
      </x:c>
      <x:c r="AG56" s="26" t="str">
        <x:v>Agriculture — general</x:v>
      </x:c>
      <x:c r="AH56" s="26" t="str">
        <x:v>Production &amp; farm management</x:v>
      </x:c>
      <x:c r="AI56" s="26" t="str">
        <x:v>Dashboard / analytics; GIS / WebGIS; UAV / drone</x:v>
      </x:c>
      <x:c r="AJ56" s="30" t="n">
        <x:f>IF(AF56="","",LEN(AF56)-LEN(SUBSTITUTE(AF56,";",""))+1)</x:f>
        <x:v>2</x:v>
      </x:c>
      <x:c r="AK56" s="26" t="str">
        <x:v>Not dedicated</x:v>
      </x:c>
    </x:row>
    <x:row r="57" ht="56" customHeight="1">
      <x:c r="A57" s="26" t="str">
        <x:v>D2-053</x:v>
      </x:c>
      <x:c r="B57" s="26" t="str">
        <x:v>Solar-Powered Indoor Growing System for Localized Agriculture</x:v>
      </x:c>
      <x:c r="C57" s="26" t="str">
        <x:v>SIGLA</x:v>
      </x:c>
      <x:c r="D57" s="26" t="str">
        <x:v>UP Los Baños and partners</x:v>
      </x:c>
      <x:c r="E57" s="26" t="str">
        <x:v>State university / research partnership</x:v>
      </x:c>
      <x:c r="F57" s="26" t="str">
        <x:v>Urban and controlled-environment crops</x:v>
      </x:c>
      <x:c r="G57" s="26" t="str">
        <x:v>Pilot sites</x:v>
      </x:c>
      <x:c r="H57" s="26" t="str">
        <x:v>Production and urban farming</x:v>
      </x:c>
      <x:c r="I57" s="26" t="str">
        <x:v>Agricultural automation / smart farming</x:v>
      </x:c>
      <x:c r="J57" s="26" t="str">
        <x:v>Precision agriculture, EO, drones &amp; IoT</x:v>
      </x:c>
      <x:c r="K57" s="26" t="str">
        <x:v>Solar-powered modular indoor vertical-farming system</x:v>
      </x:c>
      <x:c r="L57" s="26" t="str">
        <x:v>Controlled environment, sensors and modular farm</x:v>
      </x:c>
      <x:c r="M57" s="26" t="str">
        <x:v>Urban growers, communities and researchers</x:v>
      </x:c>
      <x:c r="N57" s="30" t="str">
        <x:v>Yes</x:v>
      </x:c>
      <x:c r="O57" s="30" t="str">
        <x:v>Yes</x:v>
      </x:c>
      <x:c r="P57" s="30" t="str">
        <x:v>Indirect</x:v>
      </x:c>
      <x:c r="Q57" s="26" t="str">
        <x:v>Prototype / demonstration</x:v>
      </x:c>
      <x:c r="R57" s="26" t="str">
        <x:v>Pilot / prototype</x:v>
      </x:c>
      <x:c r="S57" s="26" t="str">
        <x:v>Highlighted at ICTforAg Philippines in 2024</x:v>
      </x:c>
      <x:c r="T57" s="26" t="str">
        <x:v>Integrates renewable energy and controlled-environment production</x:v>
      </x:c>
      <x:c r="U57" s="26" t="str">
        <x:v>Capital cost, energy balance, crop economics, maintenance and market fit</x:v>
      </x:c>
      <x:c r="V57" s="26" t="str">
        <x:v>System interfaces and operational-data governance are not public</x:v>
      </x:c>
      <x:c r="W57" s="26" t="str">
        <x:v>Innovation sandbox and technology profile</x:v>
      </x:c>
      <x:c r="X57" s="30" t="str">
        <x:v>Low</x:v>
      </x:c>
      <x:c r="Y57" s="26" t="str">
        <x:v>Require lifecycle cost, energy, yield and replicability evidence before scaling</x:v>
      </x:c>
      <x:c r="Z57" s="32" t="str">
        <x:v>https://www.irri.org/news-and-events/news/philippines-stakeholders-are-charting-future-digital-agriculture</x:v>
      </x:c>
      <x:c r="AA57" s="32" t="str">
        <x:v>https://ovcre.uplb.edu.ph/</x:v>
      </x:c>
      <x:c r="AB57" s="30" t="str">
        <x:v>2026-07-11</x:v>
      </x:c>
      <x:c r="AC57" s="30" t="str">
        <x:v>Medium</x:v>
      </x:c>
      <x:c r="AD57" s="26"/>
      <x:c r="AE57" s="26" t="str"/>
      <x:c r="AF57" s="26" t="str">
        <x:v>Precision agriculture, EO, drones &amp; IoT</x:v>
      </x:c>
      <x:c r="AG57" s="26" t="str">
        <x:v>Agriculture — general</x:v>
      </x:c>
      <x:c r="AH57" s="26" t="str">
        <x:v>Production &amp; farm management</x:v>
      </x:c>
      <x:c r="AI57" s="26" t="str">
        <x:v>IoT / sensors</x:v>
      </x:c>
      <x:c r="AJ57" s="30" t="n">
        <x:f>IF(AF57="","",LEN(AF57)-LEN(SUBSTITUTE(AF57,";",""))+1)</x:f>
        <x:v>1</x:v>
      </x:c>
      <x:c r="AK57" s="26" t="str">
        <x:v>Not dedicated</x:v>
      </x:c>
    </x:row>
    <x:row r="58" ht="56" customHeight="1">
      <x:c r="A58" s="26" t="str">
        <x:v>D2-054</x:v>
      </x:c>
      <x:c r="B58" s="26" t="str">
        <x:v>Municipal Fisherfolk Registration System</x:v>
      </x:c>
      <x:c r="C58" s="26" t="str">
        <x:v>FishR</x:v>
      </x:c>
      <x:c r="D58" s="26" t="str">
        <x:v>DA-Bureau of Fisheries and Aquatic Resources</x:v>
      </x:c>
      <x:c r="E58" s="26" t="str">
        <x:v>National government</x:v>
      </x:c>
      <x:c r="F58" s="26" t="str">
        <x:v>Fisheries</x:v>
      </x:c>
      <x:c r="G58" s="26" t="str">
        <x:v>National / municipal LGUs</x:v>
      </x:c>
      <x:c r="H58" s="26" t="str">
        <x:v>Registration and public service</x:v>
      </x:c>
      <x:c r="I58" s="26" t="str">
        <x:v>Decision support / public service</x:v>
      </x:c>
      <x:c r="J58" s="26" t="str">
        <x:v>Registry &amp; digital identity</x:v>
      </x:c>
      <x:c r="K58" s="26" t="str">
        <x:v>Standardized registration of municipal fisherfolk and fishworkers</x:v>
      </x:c>
      <x:c r="L58" s="26" t="str">
        <x:v>Government registry and database</x:v>
      </x:c>
      <x:c r="M58" s="26" t="str">
        <x:v>Fisherfolk, LGUs, BFAR and program implementers</x:v>
      </x:c>
      <x:c r="N58" s="30" t="str">
        <x:v>Indirect</x:v>
      </x:c>
      <x:c r="O58" s="30" t="str">
        <x:v>Indirect</x:v>
      </x:c>
      <x:c r="P58" s="30" t="str">
        <x:v>No</x:v>
      </x:c>
      <x:c r="Q58" s="26" t="str">
        <x:v>Institutionalized</x:v>
      </x:c>
      <x:c r="R58" s="26" t="str">
        <x:v>Active / operational</x:v>
      </x:c>
      <x:c r="S58" s="26" t="str">
        <x:v>National program used across coastal LGUs</x:v>
      </x:c>
      <x:c r="T58" s="26" t="str">
        <x:v>Legal basis and direct program linkage</x:v>
      </x:c>
      <x:c r="U58" s="26" t="str">
        <x:v>Updating, duplicate records, local capacity and alignment with RSBSA</x:v>
      </x:c>
      <x:c r="V58" s="26" t="str">
        <x:v>Personal and livelihood data require consent, correction and role-based access</x:v>
      </x:c>
      <x:c r="W58" s="26" t="str">
        <x:v>Fisher identity and eligibility source</x:v>
      </x:c>
      <x:c r="X58" s="30" t="str">
        <x:v>High</x:v>
      </x:c>
      <x:c r="Y58" s="26" t="str">
        <x:v>Resolve FishR–RSBSA identity alignment using federated, consented identifiers</x:v>
      </x:c>
      <x:c r="Z58" s="32" t="str">
        <x:v>https://region5.bfar.da.gov.ph/fishr-and-boatr/</x:v>
      </x:c>
      <x:c r="AA58" s="32" t="str">
        <x:v>https://region9.bfar.da.gov.ph/national-program-for-municipal-fisherfolk-registration/</x:v>
      </x:c>
      <x:c r="AB58" s="30" t="str">
        <x:v>2026-07-11</x:v>
      </x:c>
      <x:c r="AC58" s="30" t="str">
        <x:v>High</x:v>
      </x:c>
      <x:c r="AD58" s="26"/>
      <x:c r="AE58" s="26" t="str">
        <x:v>Fisheries &amp; aquaculture; Data infrastructure, interoperability &amp; dashboards</x:v>
      </x:c>
      <x:c r="AF58" s="26" t="str">
        <x:v>Registry &amp; digital identity; Fisheries &amp; aquaculture; Data infrastructure, interoperability &amp; dashboards</x:v>
      </x:c>
      <x:c r="AG58" s="26" t="str">
        <x:v>Fisheries &amp; aquaculture</x:v>
      </x:c>
      <x:c r="AH58" s="26" t="str">
        <x:v>Registration &amp; identity</x:v>
      </x:c>
      <x:c r="AI58" s="26" t="str">
        <x:v>Database / MIS</x:v>
      </x:c>
      <x:c r="AJ58" s="30" t="n">
        <x:f>IF(AF58="","",LEN(AF58)-LEN(SUBSTITUTE(AF58,";",""))+1)</x:f>
        <x:v>3</x:v>
      </x:c>
      <x:c r="AK58" s="26" t="str">
        <x:v>Not dedicated</x:v>
      </x:c>
    </x:row>
    <x:row r="59" ht="56" customHeight="1">
      <x:c r="A59" s="26" t="str">
        <x:v>D2-055</x:v>
      </x:c>
      <x:c r="B59" s="26" t="str">
        <x:v>National Program for Municipal Fishing Boats and Gears Registration</x:v>
      </x:c>
      <x:c r="C59" s="26" t="str">
        <x:v>BoatR</x:v>
      </x:c>
      <x:c r="D59" s="26" t="str">
        <x:v>DA-Bureau of Fisheries and Aquatic Resources</x:v>
      </x:c>
      <x:c r="E59" s="26" t="str">
        <x:v>National government</x:v>
      </x:c>
      <x:c r="F59" s="26" t="str">
        <x:v>Fisheries</x:v>
      </x:c>
      <x:c r="G59" s="26" t="str">
        <x:v>National / municipal LGUs</x:v>
      </x:c>
      <x:c r="H59" s="26" t="str">
        <x:v>Asset registration and regulation</x:v>
      </x:c>
      <x:c r="I59" s="26" t="str">
        <x:v>Decision support / public service</x:v>
      </x:c>
      <x:c r="J59" s="26" t="str">
        <x:v>Registry &amp; digital identity</x:v>
      </x:c>
      <x:c r="K59" s="26" t="str">
        <x:v>Registers municipal fishing vessels and gears linked to fisher records</x:v>
      </x:c>
      <x:c r="L59" s="26" t="str">
        <x:v>Government registry and database</x:v>
      </x:c>
      <x:c r="M59" s="26" t="str">
        <x:v>Fisherfolk, LGUs, BFAR and regulators</x:v>
      </x:c>
      <x:c r="N59" s="30" t="str">
        <x:v>Indirect</x:v>
      </x:c>
      <x:c r="O59" s="30" t="str">
        <x:v>Indirect</x:v>
      </x:c>
      <x:c r="P59" s="30" t="str">
        <x:v>No</x:v>
      </x:c>
      <x:c r="Q59" s="26" t="str">
        <x:v>Institutionalized</x:v>
      </x:c>
      <x:c r="R59" s="26" t="str">
        <x:v>Active / operational</x:v>
      </x:c>
      <x:c r="S59" s="26" t="str">
        <x:v>National registration program with an active portal</x:v>
      </x:c>
      <x:c r="T59" s="26" t="str">
        <x:v>Legal and operational role in vessel and gear identification</x:v>
      </x:c>
      <x:c r="U59" s="26" t="str">
        <x:v>Completeness, ownership changes, duplication and compliance linkage</x:v>
      </x:c>
      <x:c r="V59" s="26" t="str">
        <x:v>Persistent vessel/gear IDs and controlled owner data are required</x:v>
      </x:c>
      <x:c r="W59" s="26" t="str">
        <x:v>Vessel and gear identity source</x:v>
      </x:c>
      <x:c r="X59" s="30" t="str">
        <x:v>High</x:v>
      </x:c>
      <x:c r="Y59" s="26" t="str">
        <x:v>Link stable vessel and gear IDs to licenses, catch, safety and service records</x:v>
      </x:c>
      <x:c r="Z59" s="32" t="str">
        <x:v>https://boatr.bfar.da.gov.ph/</x:v>
      </x:c>
      <x:c r="AA59" s="32" t="str">
        <x:v>https://region9.bfar.da.gov.ph/national-program-for-municipal-fishing-vessels-and-gears-registration/</x:v>
      </x:c>
      <x:c r="AB59" s="30" t="str">
        <x:v>2026-07-11</x:v>
      </x:c>
      <x:c r="AC59" s="30" t="str">
        <x:v>High</x:v>
      </x:c>
      <x:c r="AD59" s="26"/>
      <x:c r="AE59" s="26" t="str">
        <x:v>Fisheries &amp; aquaculture; Data infrastructure, interoperability &amp; dashboards</x:v>
      </x:c>
      <x:c r="AF59" s="26" t="str">
        <x:v>Registry &amp; digital identity; Fisheries &amp; aquaculture; Data infrastructure, interoperability &amp; dashboards</x:v>
      </x:c>
      <x:c r="AG59" s="26" t="str">
        <x:v>Fisheries &amp; aquaculture</x:v>
      </x:c>
      <x:c r="AH59" s="26" t="str">
        <x:v>Registration &amp; identity</x:v>
      </x:c>
      <x:c r="AI59" s="26" t="str">
        <x:v>Database / MIS</x:v>
      </x:c>
      <x:c r="AJ59" s="30" t="n">
        <x:f>IF(AF59="","",LEN(AF59)-LEN(SUBSTITUTE(AF59,";",""))+1)</x:f>
        <x:v>3</x:v>
      </x:c>
      <x:c r="AK59" s="26" t="str">
        <x:v>Not dedicated</x:v>
      </x:c>
    </x:row>
    <x:row r="60" ht="56" customHeight="1">
      <x:c r="A60" s="26" t="str">
        <x:v>D2-056</x:v>
      </x:c>
      <x:c r="B60" s="26" t="str">
        <x:v>Fishing Vessels e-Licensing System</x:v>
      </x:c>
      <x:c r="C60" s="26" t="str">
        <x:v>FeLiS</x:v>
      </x:c>
      <x:c r="D60" s="26" t="str">
        <x:v>DA-Bureau of Fisheries and Aquatic Resources</x:v>
      </x:c>
      <x:c r="E60" s="26" t="str">
        <x:v>National government</x:v>
      </x:c>
      <x:c r="F60" s="26" t="str">
        <x:v>Commercial fisheries</x:v>
      </x:c>
      <x:c r="G60" s="26" t="str">
        <x:v>National</x:v>
      </x:c>
      <x:c r="H60" s="26" t="str">
        <x:v>Licensing and regulation</x:v>
      </x:c>
      <x:c r="I60" s="26" t="str">
        <x:v>Decision support / public service</x:v>
      </x:c>
      <x:c r="J60" s="26" t="str">
        <x:v>Traceability, food safety &amp; MRV</x:v>
      </x:c>
      <x:c r="K60" s="26" t="str">
        <x:v>Electronic licensing for fishing vessels</x:v>
      </x:c>
      <x:c r="L60" s="26" t="str">
        <x:v>Web information system</x:v>
      </x:c>
      <x:c r="M60" s="26" t="str">
        <x:v>Fishing companies, vessel operators and BFAR</x:v>
      </x:c>
      <x:c r="N60" s="30" t="str">
        <x:v>Indirect</x:v>
      </x:c>
      <x:c r="O60" s="30" t="str">
        <x:v>Indirect</x:v>
      </x:c>
      <x:c r="P60" s="30" t="str">
        <x:v>Indirect</x:v>
      </x:c>
      <x:c r="Q60" s="26" t="str">
        <x:v>Institutionalized</x:v>
      </x:c>
      <x:c r="R60" s="26" t="str">
        <x:v>Active / operational</x:v>
      </x:c>
      <x:c r="S60" s="26" t="str">
        <x:v>Referenced in official BFAR fisheries reporting</x:v>
      </x:c>
      <x:c r="T60" s="26" t="str">
        <x:v>Direct link to vessel legality and compliance</x:v>
      </x:c>
      <x:c r="U60" s="26" t="str">
        <x:v>Data completeness and linkage with BoatR, VMS and reporting systems</x:v>
      </x:c>
      <x:c r="V60" s="26" t="str">
        <x:v>Commercial, owner, vessel and compliance data need role-based access</x:v>
      </x:c>
      <x:c r="W60" s="26" t="str">
        <x:v>Licensing and compliance source</x:v>
      </x:c>
      <x:c r="X60" s="30" t="str">
        <x:v>High</x:v>
      </x:c>
      <x:c r="Y60" s="26" t="str">
        <x:v>Connect vessel identity and license status to catch and monitoring systems</x:v>
      </x:c>
      <x:c r="Z60" s="32" t="str">
        <x:v>https://www.bfar.da.gov.ph/wp-content/uploads/2022/11/2021-Fisheries-Profile-FINAL-FILE.pdf</x:v>
      </x:c>
      <x:c r="AA60" s="32" t="str">
        <x:v>https://www.bfar.da.gov.ph/</x:v>
      </x:c>
      <x:c r="AB60" s="30" t="str">
        <x:v>2026-07-11</x:v>
      </x:c>
      <x:c r="AC60" s="30" t="str">
        <x:v>Medium</x:v>
      </x:c>
      <x:c r="AD60" s="26"/>
      <x:c r="AE60" s="26" t="str">
        <x:v>Fisheries &amp; aquaculture; Data infrastructure, interoperability &amp; dashboards</x:v>
      </x:c>
      <x:c r="AF60" s="26" t="str">
        <x:v>Traceability, food safety &amp; MRV; Fisheries &amp; aquaculture; Data infrastructure, interoperability &amp; dashboards</x:v>
      </x:c>
      <x:c r="AG60" s="26" t="str">
        <x:v>Fisheries &amp; aquaculture</x:v>
      </x:c>
      <x:c r="AH60" s="26" t="str">
        <x:v>Processing &amp; quality; Traceability, compliance &amp; MRV</x:v>
      </x:c>
      <x:c r="AI60" s="26" t="str">
        <x:v>Web / portal; Database / MIS</x:v>
      </x:c>
      <x:c r="AJ60" s="30" t="n">
        <x:f>IF(AF60="","",LEN(AF60)-LEN(SUBSTITUTE(AF60,";",""))+1)</x:f>
        <x:v>3</x:v>
      </x:c>
      <x:c r="AK60" s="26" t="str">
        <x:v>Not dedicated</x:v>
      </x:c>
    </x:row>
    <x:row r="61" ht="56" customHeight="1">
      <x:c r="A61" s="26" t="str">
        <x:v>D2-057</x:v>
      </x:c>
      <x:c r="B61" s="26" t="str">
        <x:v>Vessel Monitoring Measures / Vessel Monitoring System</x:v>
      </x:c>
      <x:c r="C61" s="26" t="str">
        <x:v>VMM / VMS</x:v>
      </x:c>
      <x:c r="D61" s="26" t="str">
        <x:v>DA-Bureau of Fisheries and Aquatic Resources</x:v>
      </x:c>
      <x:c r="E61" s="26" t="str">
        <x:v>National government</x:v>
      </x:c>
      <x:c r="F61" s="26" t="str">
        <x:v>Commercial fisheries</x:v>
      </x:c>
      <x:c r="G61" s="26" t="str">
        <x:v>Philippine waters / high seas</x:v>
      </x:c>
      <x:c r="H61" s="26" t="str">
        <x:v>Monitoring and compliance</x:v>
      </x:c>
      <x:c r="I61" s="26" t="str">
        <x:v>Agricultural automation / smart farming</x:v>
      </x:c>
      <x:c r="J61" s="26" t="str">
        <x:v>Fisheries &amp; aquaculture</x:v>
      </x:c>
      <x:c r="K61" s="26" t="str">
        <x:v>Tracks vessel position, course and speed for fisheries management</x:v>
      </x:c>
      <x:c r="L61" s="26" t="str">
        <x:v>Satellite or non-satellite tracking and monitoring center</x:v>
      </x:c>
      <x:c r="M61" s="26" t="str">
        <x:v>BFAR and vessel operators</x:v>
      </x:c>
      <x:c r="N61" s="30" t="str">
        <x:v>Indirect</x:v>
      </x:c>
      <x:c r="O61" s="30" t="str">
        <x:v>Yes</x:v>
      </x:c>
      <x:c r="P61" s="30" t="str">
        <x:v>Indirect</x:v>
      </x:c>
      <x:c r="Q61" s="26" t="str">
        <x:v>Institutionalized / regulated</x:v>
      </x:c>
      <x:c r="R61" s="26" t="str">
        <x:v>Active / operational</x:v>
      </x:c>
      <x:c r="S61" s="26" t="str">
        <x:v>Required for specified commercial vessels under fisheries regulations</x:v>
      </x:c>
      <x:c r="T61" s="26" t="str">
        <x:v>Strong legal mandate and real-time compliance value</x:v>
      </x:c>
      <x:c r="U61" s="26" t="str">
        <x:v>Device cost, coverage, compliance, cybersecurity and enforcement trust</x:v>
      </x:c>
      <x:c r="V61" s="26" t="str">
        <x:v>Raw vessel tracks are highly sensitive and require secure role-based integration</x:v>
      </x:c>
      <x:c r="W61" s="26" t="str">
        <x:v>Secure fisheries-monitoring connector</x:v>
      </x:c>
      <x:c r="X61" s="30" t="str">
        <x:v>High</x:v>
      </x:c>
      <x:c r="Y61" s="26" t="str">
        <x:v>Connect only authorized status/analytics; do not expose sensitive raw tracks</x:v>
      </x:c>
      <x:c r="Z61" s="32" t="str">
        <x:v>https://www.bfar.da.gov.ph/wp-content/uploads/2021/04/FAO-No.-266-s.-2020.pdf</x:v>
      </x:c>
      <x:c r="AA61" s="32" t="str">
        <x:v>https://www.bfar.da.gov.ph/wp-content/uploads/2024/11/Philippine-IUU-Fishing-Assessment-Report-2023-300dpi.pdf</x:v>
      </x:c>
      <x:c r="AB61" s="30" t="str">
        <x:v>2026-07-11</x:v>
      </x:c>
      <x:c r="AC61" s="30" t="str">
        <x:v>High</x:v>
      </x:c>
      <x:c r="AD61" s="26"/>
      <x:c r="AE61" s="26" t="str">
        <x:v>Precision agriculture, EO, drones &amp; IoT; Traceability, food safety &amp; MRV</x:v>
      </x:c>
      <x:c r="AF61" s="26" t="str">
        <x:v>Precision agriculture, EO, drones &amp; IoT; Traceability, food safety &amp; MRV; Fisheries &amp; aquaculture</x:v>
      </x:c>
      <x:c r="AG61" s="26" t="str">
        <x:v>Fisheries &amp; aquaculture</x:v>
      </x:c>
      <x:c r="AH61" s="26" t="str">
        <x:v>Production &amp; farm management; Traceability, compliance &amp; MRV</x:v>
      </x:c>
      <x:c r="AI61" s="26" t="str">
        <x:v>Remote sensing / EO</x:v>
      </x:c>
      <x:c r="AJ61" s="30" t="n">
        <x:f>IF(AF61="","",LEN(AF61)-LEN(SUBSTITUTE(AF61,";",""))+1)</x:f>
        <x:v>3</x:v>
      </x:c>
      <x:c r="AK61" s="26" t="str">
        <x:v>Not dedicated</x:v>
      </x:c>
    </x:row>
    <x:row r="62" ht="56" customHeight="1">
      <x:c r="A62" s="26" t="str">
        <x:v>D2-058</x:v>
      </x:c>
      <x:c r="B62" s="26" t="str">
        <x:v>Electronic Reporting System for Commercial Fishing Vessels</x:v>
      </x:c>
      <x:c r="C62" s="26" t="str">
        <x:v>ERS</x:v>
      </x:c>
      <x:c r="D62" s="26" t="str">
        <x:v>DA-Bureau of Fisheries and Aquatic Resources</x:v>
      </x:c>
      <x:c r="E62" s="26" t="str">
        <x:v>National government</x:v>
      </x:c>
      <x:c r="F62" s="26" t="str">
        <x:v>Commercial fisheries</x:v>
      </x:c>
      <x:c r="G62" s="26" t="str">
        <x:v>National / high seas</x:v>
      </x:c>
      <x:c r="H62" s="26" t="str">
        <x:v>Catch reporting and compliance</x:v>
      </x:c>
      <x:c r="I62" s="26" t="str">
        <x:v>Decision support / public service</x:v>
      </x:c>
      <x:c r="J62" s="26" t="str">
        <x:v>Traceability, food safety &amp; MRV</x:v>
      </x:c>
      <x:c r="K62" s="26" t="str">
        <x:v>Records and transmits catch, landing and transshipment information</x:v>
      </x:c>
      <x:c r="L62" s="26" t="str">
        <x:v>Electronic onboard reporting and transmission</x:v>
      </x:c>
      <x:c r="M62" s="26" t="str">
        <x:v>Fishing vessels, companies and BFAR</x:v>
      </x:c>
      <x:c r="N62" s="30" t="str">
        <x:v>Indirect</x:v>
      </x:c>
      <x:c r="O62" s="30" t="str">
        <x:v>Yes</x:v>
      </x:c>
      <x:c r="P62" s="30" t="str">
        <x:v>Indirect</x:v>
      </x:c>
      <x:c r="Q62" s="26" t="str">
        <x:v>Institutionalized / regulated</x:v>
      </x:c>
      <x:c r="R62" s="26" t="str">
        <x:v>Active / operational</x:v>
      </x:c>
      <x:c r="S62" s="26" t="str">
        <x:v>Defined in fisheries regulations and IUU-fishing assessments</x:v>
      </x:c>
      <x:c r="T62" s="26" t="str">
        <x:v>Direct link between operations, catch data and compliance</x:v>
      </x:c>
      <x:c r="U62" s="26" t="str">
        <x:v>Reporting burden, connectivity, validation and operator trust</x:v>
      </x:c>
      <x:c r="V62" s="26" t="str">
        <x:v>Species, gear, trip, vessel and landing identifiers need audit trails</x:v>
      </x:c>
      <x:c r="W62" s="26" t="str">
        <x:v>Secure catch-data connector</x:v>
      </x:c>
      <x:c r="X62" s="30" t="str">
        <x:v>High</x:v>
      </x:c>
      <x:c r="Y62" s="26" t="str">
        <x:v>Adopt common catch-event standards and connect to licensing and monitoring</x:v>
      </x:c>
      <x:c r="Z62" s="32" t="str">
        <x:v>https://www.bfar.da.gov.ph/wp-content/uploads/2021/04/FAO-No.-266-s.-2020.pdf</x:v>
      </x:c>
      <x:c r="AA62" s="32" t="str">
        <x:v>https://www.bfar.da.gov.ph/wp-content/uploads/2024/11/Philippine-IUU-Fishing-Assessment-Report-2023-300dpi.pdf</x:v>
      </x:c>
      <x:c r="AB62" s="30" t="str">
        <x:v>2026-07-11</x:v>
      </x:c>
      <x:c r="AC62" s="30" t="str">
        <x:v>High</x:v>
      </x:c>
      <x:c r="AD62" s="26"/>
      <x:c r="AE62" s="26" t="str">
        <x:v>Fisheries &amp; aquaculture</x:v>
      </x:c>
      <x:c r="AF62" s="26" t="str">
        <x:v>Traceability, food safety &amp; MRV; Fisheries &amp; aquaculture</x:v>
      </x:c>
      <x:c r="AG62" s="26" t="str">
        <x:v>Fisheries &amp; aquaculture</x:v>
      </x:c>
      <x:c r="AH62" s="26" t="str">
        <x:v>Processing &amp; quality; Traceability, compliance &amp; MRV</x:v>
      </x:c>
      <x:c r="AI62" s="26" t="str">
        <x:v>Dashboard / analytics</x:v>
      </x:c>
      <x:c r="AJ62" s="30" t="n">
        <x:f>IF(AF62="","",LEN(AF62)-LEN(SUBSTITUTE(AF62,";",""))+1)</x:f>
        <x:v>2</x:v>
      </x:c>
      <x:c r="AK62" s="26" t="str">
        <x:v>Not dedicated</x:v>
      </x:c>
    </x:row>
    <x:row r="63" ht="56" customHeight="1">
      <x:c r="A63" s="26" t="str">
        <x:v>D2-059</x:v>
      </x:c>
      <x:c r="B63" s="26" t="str">
        <x:v>Electronic Catch Documentation and Traceability System</x:v>
      </x:c>
      <x:c r="C63" s="26" t="str">
        <x:v>eCDTS</x:v>
      </x:c>
      <x:c r="D63" s="26" t="str">
        <x:v>DA-BFAR and LGUs</x:v>
      </x:c>
      <x:c r="E63" s="26" t="str">
        <x:v>National and local government</x:v>
      </x:c>
      <x:c r="F63" s="26" t="str">
        <x:v>Fisheries</x:v>
      </x:c>
      <x:c r="G63" s="26" t="str">
        <x:v>National / municipal and export chains</x:v>
      </x:c>
      <x:c r="H63" s="26" t="str">
        <x:v>Catch documentation and traceability</x:v>
      </x:c>
      <x:c r="I63" s="26" t="str">
        <x:v>E-commerce / traceability</x:v>
      </x:c>
      <x:c r="J63" s="26" t="str">
        <x:v>Traceability, food safety &amp; MRV</x:v>
      </x:c>
      <x:c r="K63" s="26" t="str">
        <x:v>Digitizes catch documentation from harvest and landing through trade</x:v>
      </x:c>
      <x:c r="L63" s="26" t="str">
        <x:v>Electronic documentation, databases and identifiers</x:v>
      </x:c>
      <x:c r="M63" s="26" t="str">
        <x:v>Fisherfolk, vessels, buyers, processors and regulators</x:v>
      </x:c>
      <x:c r="N63" s="30" t="str">
        <x:v>Indirect</x:v>
      </x:c>
      <x:c r="O63" s="30" t="str">
        <x:v>Yes</x:v>
      </x:c>
      <x:c r="P63" s="30" t="str">
        <x:v>Indirect</x:v>
      </x:c>
      <x:c r="Q63" s="26" t="str">
        <x:v>Policy-backed / uneven deployment</x:v>
      </x:c>
      <x:c r="R63" s="26" t="str">
        <x:v>Pilot / partial deployment</x:v>
      </x:c>
      <x:c r="S63" s="26" t="str">
        <x:v>Included in fisheries development plans and traceability regulations</x:v>
      </x:c>
      <x:c r="T63" s="26" t="str">
        <x:v>Strong legality, food-safety and market-access rationale</x:v>
      </x:c>
      <x:c r="U63" s="26" t="str">
        <x:v>LGU capacity, interoperability, small-scale burden and incentives</x:v>
      </x:c>
      <x:c r="V63" s="26" t="str">
        <x:v>Minimum datasets should interoperate with FishR, BoatR and stock assessment</x:v>
      </x:c>
      <x:c r="W63" s="26" t="str">
        <x:v>Fisheries traceability backbone</x:v>
      </x:c>
      <x:c r="X63" s="30" t="str">
        <x:v>High</x:v>
      </x:c>
      <x:c r="Y63" s="26" t="str">
        <x:v>Prioritize assisted offline capture and interoperable minimum catch datasets</x:v>
      </x:c>
      <x:c r="Z63" s="32" t="str">
        <x:v>https://www.bfar.da.gov.ph/wp-content/uploads/2021/04/CPHMAIP20182022.pdf</x:v>
      </x:c>
      <x:c r="AA63" s="32" t="str">
        <x:v>https://www.bfar.da.gov.ph/fisheries-policy/policies/</x:v>
      </x:c>
      <x:c r="AB63" s="30" t="str">
        <x:v>2026-07-11</x:v>
      </x:c>
      <x:c r="AC63" s="30" t="str">
        <x:v>High</x:v>
      </x:c>
      <x:c r="AD63" s="26"/>
      <x:c r="AE63" s="26" t="str">
        <x:v>Markets, e-commerce &amp; logistics; Fisheries &amp; aquaculture; Data infrastructure, interoperability &amp; dashboards</x:v>
      </x:c>
      <x:c r="AF63" s="26" t="str">
        <x:v>Markets, e-commerce &amp; logistics; Traceability, food safety &amp; MRV; Fisheries &amp; aquaculture; Data infrastructure, interoperability &amp; dashboards</x:v>
      </x:c>
      <x:c r="AG63" s="26" t="str">
        <x:v>Fisheries &amp; aquaculture</x:v>
      </x:c>
      <x:c r="AH63" s="26" t="str">
        <x:v>Harvest &amp; postharvest; Processing &amp; quality; Markets &amp; trade; Traceability, compliance &amp; MRV</x:v>
      </x:c>
      <x:c r="AI63" s="26" t="str">
        <x:v>Database / MIS</x:v>
      </x:c>
      <x:c r="AJ63" s="30" t="n">
        <x:f>IF(AF63="","",LEN(AF63)-LEN(SUBSTITUTE(AF63,";",""))+1)</x:f>
        <x:v>4</x:v>
      </x:c>
      <x:c r="AK63" s="26" t="str">
        <x:v>Not dedicated</x:v>
      </x:c>
    </x:row>
    <x:row r="64" ht="56" customHeight="1">
      <x:c r="A64" s="26" t="str">
        <x:v>D2-060</x:v>
      </x:c>
      <x:c r="B64" s="26" t="str">
        <x:v>National Stock Assessment Program Information System</x:v>
      </x:c>
      <x:c r="C64" s="26" t="str">
        <x:v>NSAP Data System</x:v>
      </x:c>
      <x:c r="D64" s="26" t="str">
        <x:v>DA-Bureau of Fisheries and Aquatic Resources</x:v>
      </x:c>
      <x:c r="E64" s="26" t="str">
        <x:v>National government</x:v>
      </x:c>
      <x:c r="F64" s="26" t="str">
        <x:v>Fisheries stocks</x:v>
      </x:c>
      <x:c r="G64" s="26" t="str">
        <x:v>National</x:v>
      </x:c>
      <x:c r="H64" s="26" t="str">
        <x:v>Resource assessment and management</x:v>
      </x:c>
      <x:c r="I64" s="26" t="str">
        <x:v>Decision support / computer-enabled systems</x:v>
      </x:c>
      <x:c r="J64" s="26" t="str">
        <x:v>Fisheries &amp; aquaculture</x:v>
      </x:c>
      <x:c r="K64" s="26" t="str">
        <x:v>Collects and manages fish-landing and stock-assessment data</x:v>
      </x:c>
      <x:c r="L64" s="26" t="str">
        <x:v>Field data collection, database and analytics</x:v>
      </x:c>
      <x:c r="M64" s="26" t="str">
        <x:v>BFAR scientists and fisheries managers</x:v>
      </x:c>
      <x:c r="N64" s="30" t="str">
        <x:v>Indirect</x:v>
      </x:c>
      <x:c r="O64" s="30" t="str">
        <x:v>Yes</x:v>
      </x:c>
      <x:c r="P64" s="30" t="str">
        <x:v>Indirect</x:v>
      </x:c>
      <x:c r="Q64" s="26" t="str">
        <x:v>Institutionalized</x:v>
      </x:c>
      <x:c r="R64" s="26" t="str">
        <x:v>Active / operational</x:v>
      </x:c>
      <x:c r="S64" s="26" t="str">
        <x:v>Long-running national stock-assessment program</x:v>
      </x:c>
      <x:c r="T64" s="26" t="str">
        <x:v>Core evidence for fisheries management</x:v>
      </x:c>
      <x:c r="U64" s="26" t="str">
        <x:v>Sampling consistency, timeliness and linkage to catch documentation</x:v>
      </x:c>
      <x:c r="V64" s="26" t="str">
        <x:v>Sensitive fisheries data need secure exchange and aggregated public release</x:v>
      </x:c>
      <x:c r="W64" s="26" t="str">
        <x:v>Fisheries science and analytics feed</x:v>
      </x:c>
      <x:c r="X64" s="30" t="str">
        <x:v>High</x:v>
      </x:c>
      <x:c r="Y64" s="26" t="str">
        <x:v>Use shared species, location and trip standards; publish safe aggregated indicators</x:v>
      </x:c>
      <x:c r="Z64" s="32" t="str">
        <x:v>https://www.bfar.da.gov.ph/</x:v>
      </x:c>
      <x:c r="AA64" s="32" t="str">
        <x:v>https://www.bfar.da.gov.ph/wp-content/uploads/2021/05/DraftDA-DILGJAOonCatchDocumentationinMunicipalWaterscopy.pdf</x:v>
      </x:c>
      <x:c r="AB64" s="30" t="str">
        <x:v>2026-07-11</x:v>
      </x:c>
      <x:c r="AC64" s="30" t="str">
        <x:v>Medium</x:v>
      </x:c>
      <x:c r="AD64" s="26"/>
      <x:c r="AE64" s="26" t="str">
        <x:v>Data infrastructure, interoperability &amp; dashboards</x:v>
      </x:c>
      <x:c r="AF64" s="26" t="str">
        <x:v>Fisheries &amp; aquaculture; Data infrastructure, interoperability &amp; dashboards</x:v>
      </x:c>
      <x:c r="AG64" s="26" t="str">
        <x:v>Fisheries &amp; aquaculture</x:v>
      </x:c>
      <x:c r="AH64" s="26" t="str">
        <x:v>Cross-cutting</x:v>
      </x:c>
      <x:c r="AI64" s="26" t="str">
        <x:v>Database / MIS; Dashboard / analytics</x:v>
      </x:c>
      <x:c r="AJ64" s="30" t="n">
        <x:f>IF(AF64="","",LEN(AF64)-LEN(SUBSTITUTE(AF64,";",""))+1)</x:f>
        <x:v>2</x:v>
      </x:c>
      <x:c r="AK64" s="26" t="str">
        <x:v>Not dedicated</x:v>
      </x:c>
    </x:row>
    <x:row r="65" ht="56" customHeight="1">
      <x:c r="A65" s="26" t="str">
        <x:v>D2-061</x:v>
      </x:c>
      <x:c r="B65" s="26" t="str">
        <x:v>Special Area for Agricultural Development Database</x:v>
      </x:c>
      <x:c r="C65" s="26" t="str">
        <x:v>SAAD Database</x:v>
      </x:c>
      <x:c r="D65" s="26" t="str">
        <x:v>Department of Agriculture / BFAR SAAD Program</x:v>
      </x:c>
      <x:c r="E65" s="26" t="str">
        <x:v>National government</x:v>
      </x:c>
      <x:c r="F65" s="26" t="str">
        <x:v>Agriculture and fisheries</x:v>
      </x:c>
      <x:c r="G65" s="26" t="str">
        <x:v>Program areas</x:v>
      </x:c>
      <x:c r="H65" s="26" t="str">
        <x:v>Program implementation and M&amp;E</x:v>
      </x:c>
      <x:c r="I65" s="26" t="str">
        <x:v>Decision support / public service</x:v>
      </x:c>
      <x:c r="J65" s="26" t="str">
        <x:v>Data infrastructure, interoperability &amp; dashboards</x:v>
      </x:c>
      <x:c r="K65" s="26" t="str">
        <x:v>Profiles beneficiaries and tracks projects from identification to monitoring</x:v>
      </x:c>
      <x:c r="L65" s="26" t="str">
        <x:v>Government web database and MIS</x:v>
      </x:c>
      <x:c r="M65" s="26" t="str">
        <x:v>SAAD implementers, agencies and LGUs</x:v>
      </x:c>
      <x:c r="N65" s="30" t="str">
        <x:v>Indirect</x:v>
      </x:c>
      <x:c r="O65" s="30" t="str">
        <x:v>Indirect</x:v>
      </x:c>
      <x:c r="P65" s="30" t="str">
        <x:v>No</x:v>
      </x:c>
      <x:c r="Q65" s="26" t="str">
        <x:v>Institutionalized program system</x:v>
      </x:c>
      <x:c r="R65" s="26" t="str">
        <x:v>Active / operational</x:v>
      </x:c>
      <x:c r="S65" s="26" t="str">
        <x:v>Operational guidelines published in 2024</x:v>
      </x:c>
      <x:c r="T65" s="26" t="str">
        <x:v>Direct link to program implementation and beneficiary monitoring</x:v>
      </x:c>
      <x:c r="U65" s="26" t="str">
        <x:v>Program-specific silos, duplicate profiles and outcome analytics</x:v>
      </x:c>
      <x:c r="V65" s="26" t="str">
        <x:v>Guidelines reference RSBSA IDs; personal data require controlled access</x:v>
      </x:c>
      <x:c r="W65" s="26" t="str">
        <x:v>Program M&amp;E connector</x:v>
      </x:c>
      <x:c r="X65" s="30" t="str">
        <x:v>High</x:v>
      </x:c>
      <x:c r="Y65" s="26" t="str">
        <x:v>Use RSBSA references and common intervention, output and outcome schemas</x:v>
      </x:c>
      <x:c r="Z65" s="32" t="str">
        <x:v>https://www.bfar.da.gov.ph/wp-content/uploads/2024/04/ITDD-Guidelines.pdf</x:v>
      </x:c>
      <x:c r="AA65" s="32"/>
      <x:c r="AB65" s="30" t="str">
        <x:v>2026-07-11</x:v>
      </x:c>
      <x:c r="AC65" s="30" t="str">
        <x:v>High</x:v>
      </x:c>
      <x:c r="AD65" s="26"/>
      <x:c r="AE65" s="26" t="str">
        <x:v>Registry &amp; digital identity; Fisheries &amp; aquaculture</x:v>
      </x:c>
      <x:c r="AF65" s="26" t="str">
        <x:v>Registry &amp; digital identity; Fisheries &amp; aquaculture; Data infrastructure, interoperability &amp; dashboards</x:v>
      </x:c>
      <x:c r="AG65" s="26" t="str">
        <x:v>Fisheries &amp; aquaculture</x:v>
      </x:c>
      <x:c r="AH65" s="26" t="str">
        <x:v>Registration &amp; identity; Production &amp; farm management</x:v>
      </x:c>
      <x:c r="AI65" s="26" t="str">
        <x:v>Web / portal; Database / MIS</x:v>
      </x:c>
      <x:c r="AJ65" s="30" t="n">
        <x:f>IF(AF65="","",LEN(AF65)-LEN(SUBSTITUTE(AF65,";",""))+1)</x:f>
        <x:v>3</x:v>
      </x:c>
      <x:c r="AK65" s="26" t="str">
        <x:v>Not dedicated</x:v>
      </x:c>
    </x:row>
    <x:row r="66" ht="56" customHeight="1">
      <x:c r="A66" s="26" t="str">
        <x:v>D2-062</x:v>
      </x:c>
      <x:c r="B66" s="26" t="str">
        <x:v>Philippine Rapid Alert System for Food and Feed</x:v>
      </x:c>
      <x:c r="C66" s="26" t="str">
        <x:v>PhilRASFF</x:v>
      </x:c>
      <x:c r="D66" s="26" t="str">
        <x:v>Philippine food-safety authorities and DA agencies</x:v>
      </x:c>
      <x:c r="E66" s="26" t="str">
        <x:v>National government partnership</x:v>
      </x:c>
      <x:c r="F66" s="26" t="str">
        <x:v>Food and feed safety</x:v>
      </x:c>
      <x:c r="G66" s="26" t="str">
        <x:v>National</x:v>
      </x:c>
      <x:c r="H66" s="26" t="str">
        <x:v>Postharvest, regulation and alerts</x:v>
      </x:c>
      <x:c r="I66" s="26" t="str">
        <x:v>E-commerce / traceability</x:v>
      </x:c>
      <x:c r="J66" s="26" t="str">
        <x:v>Traceability, food safety &amp; MRV</x:v>
      </x:c>
      <x:c r="K66" s="26" t="str">
        <x:v>Shares rapid alerts on food and feed safety risks</x:v>
      </x:c>
      <x:c r="L66" s="26" t="str">
        <x:v>Web alert and information exchange</x:v>
      </x:c>
      <x:c r="M66" s="26" t="str">
        <x:v>Regulators, food businesses and laboratories</x:v>
      </x:c>
      <x:c r="N66" s="30" t="str">
        <x:v>Indirect</x:v>
      </x:c>
      <x:c r="O66" s="30" t="str">
        <x:v>Yes</x:v>
      </x:c>
      <x:c r="P66" s="30" t="str">
        <x:v>Indirect</x:v>
      </x:c>
      <x:c r="Q66" s="26" t="str">
        <x:v>Institutional / evolving</x:v>
      </x:c>
      <x:c r="R66" s="26" t="str">
        <x:v>Status unverified</x:v>
      </x:c>
      <x:c r="S66" s="26" t="str">
        <x:v>Referenced in fisheries postharvest-development plans</x:v>
      </x:c>
      <x:c r="T66" s="26" t="str">
        <x:v>Cross-agency food-safety relevance</x:v>
      </x:c>
      <x:c r="U66" s="26" t="str">
        <x:v>Current status, timeliness, interoperability and public communication</x:v>
      </x:c>
      <x:c r="V66" s="26" t="str">
        <x:v>Incident and business data require controlled disclosure</x:v>
      </x:c>
      <x:c r="W66" s="26" t="str">
        <x:v>Food-safety alert feed</x:v>
      </x:c>
      <x:c r="X66" s="30" t="str">
        <x:v>Medium</x:v>
      </x:c>
      <x:c r="Y66" s="26" t="str">
        <x:v>Verify the current platform and link standardized alerts to traceability records</x:v>
      </x:c>
      <x:c r="Z66" s="32" t="str">
        <x:v>https://www.bfar.da.gov.ph/wp-content/uploads/2021/04/CPHMAIP20182022.pdf</x:v>
      </x:c>
      <x:c r="AA66" s="32"/>
      <x:c r="AB66" s="30" t="str">
        <x:v>2026-07-11</x:v>
      </x:c>
      <x:c r="AC66" s="30" t="str">
        <x:v>Low</x:v>
      </x:c>
      <x:c r="AD66" s="26"/>
      <x:c r="AE66" s="26" t="str">
        <x:v>Markets, e-commerce &amp; logistics</x:v>
      </x:c>
      <x:c r="AF66" s="26" t="str">
        <x:v>Markets, e-commerce &amp; logistics; Traceability, food safety &amp; MRV</x:v>
      </x:c>
      <x:c r="AG66" s="26" t="str">
        <x:v>Agriculture — general</x:v>
      </x:c>
      <x:c r="AH66" s="26" t="str">
        <x:v>Inputs, seed &amp; feed; Harvest &amp; postharvest; Processing &amp; quality; Traceability, compliance &amp; MRV</x:v>
      </x:c>
      <x:c r="AI66" s="26" t="str">
        <x:v>Web / portal</x:v>
      </x:c>
      <x:c r="AJ66" s="30" t="n">
        <x:f>IF(AF66="","",LEN(AF66)-LEN(SUBSTITUTE(AF66,";",""))+1)</x:f>
        <x:v>2</x:v>
      </x:c>
      <x:c r="AK66" s="26" t="str">
        <x:v>Not dedicated</x:v>
      </x:c>
    </x:row>
    <x:row r="67" ht="56" customHeight="1">
      <x:c r="A67" s="26" t="str">
        <x:v>D2-063</x:v>
      </x:c>
      <x:c r="B67" s="26" t="str">
        <x:v>Cost-Effective Marine Vessel Monitoring Platform through AIS Systems and Surveillance</x:v>
      </x:c>
      <x:c r="C67" s="26" t="str">
        <x:v>COMPASS</x:v>
      </x:c>
      <x:c r="D67" s="26" t="str">
        <x:v>DOST-ASTI</x:v>
      </x:c>
      <x:c r="E67" s="26" t="str">
        <x:v>National research institute</x:v>
      </x:c>
      <x:c r="F67" s="26" t="str">
        <x:v>Marine and fisheries support</x:v>
      </x:c>
      <x:c r="G67" s="26" t="str">
        <x:v>Major Philippine ports / development</x:v>
      </x:c>
      <x:c r="H67" s="26" t="str">
        <x:v>Monitoring and maritime analytics</x:v>
      </x:c>
      <x:c r="I67" s="26" t="str">
        <x:v>Research / prototype</x:v>
      </x:c>
      <x:c r="J67" s="26" t="str">
        <x:v>Fisheries &amp; aquaculture</x:v>
      </x:c>
      <x:c r="K67" s="26" t="str">
        <x:v>Tracks vessel routes, port traffic and shipping patterns using AIS</x:v>
      </x:c>
      <x:c r="L67" s="26" t="str">
        <x:v>AIS receivers, geospatial platform and analytics</x:v>
      </x:c>
      <x:c r="M67" s="26" t="str">
        <x:v>Ports, government and maritime managers</x:v>
      </x:c>
      <x:c r="N67" s="30" t="str">
        <x:v>Indirect</x:v>
      </x:c>
      <x:c r="O67" s="30" t="str">
        <x:v>Yes</x:v>
      </x:c>
      <x:c r="P67" s="30" t="str">
        <x:v>Indirect</x:v>
      </x:c>
      <x:c r="Q67" s="26" t="str">
        <x:v>Development / deployment</x:v>
      </x:c>
      <x:c r="R67" s="26" t="str">
        <x:v>Project ongoing</x:v>
      </x:c>
      <x:c r="S67" s="26" t="str">
        <x:v>Listed in the official DOST-ASTI 2026 portfolio</x:v>
      </x:c>
      <x:c r="T67" s="26" t="str">
        <x:v>Local monitoring infrastructure and analytics</x:v>
      </x:c>
      <x:c r="U67" s="26" t="str">
        <x:v>Coverage, identity matching, cybersecurity and overlap with BFAR/PCG</x:v>
      </x:c>
      <x:c r="V67" s="26" t="str">
        <x:v>Vessel tracks and security data require strict role-based governance</x:v>
      </x:c>
      <x:c r="W67" s="26" t="str">
        <x:v>Secure marine-monitoring connector</x:v>
      </x:c>
      <x:c r="X67" s="30" t="str">
        <x:v>Medium</x:v>
      </x:c>
      <x:c r="Y67" s="26" t="str">
        <x:v>Assess complementarity with BFAR VMS and share only authorized analytics</x:v>
      </x:c>
      <x:c r="Z67" s="32" t="str">
        <x:v>https://asti.dost.gov.ph/wp-content/uploads/ASTI-PPAs-2026-v2-FDL_17-June-26.pdf</x:v>
      </x:c>
      <x:c r="AA67" s="32"/>
      <x:c r="AB67" s="30" t="str">
        <x:v>2026-07-11</x:v>
      </x:c>
      <x:c r="AC67" s="30" t="str">
        <x:v>High</x:v>
      </x:c>
      <x:c r="AD67" s="26"/>
      <x:c r="AE67" s="26" t="str">
        <x:v>Precision agriculture, EO, drones &amp; IoT; Pest, disease &amp; biosecurity; Data infrastructure, interoperability &amp; dashboards</x:v>
      </x:c>
      <x:c r="AF67" s="26" t="str">
        <x:v>Precision agriculture, EO, drones &amp; IoT; Pest, disease &amp; biosecurity; Fisheries &amp; aquaculture; Data infrastructure, interoperability &amp; dashboards</x:v>
      </x:c>
      <x:c r="AG67" s="26" t="str">
        <x:v>Fisheries &amp; aquaculture</x:v>
      </x:c>
      <x:c r="AH67" s="26" t="str">
        <x:v>R&amp;D, breeding &amp; genetic resources; Production &amp; farm management</x:v>
      </x:c>
      <x:c r="AI67" s="26" t="str">
        <x:v>Dashboard / analytics; GIS / WebGIS</x:v>
      </x:c>
      <x:c r="AJ67" s="30" t="n">
        <x:f>IF(AF67="","",LEN(AF67)-LEN(SUBSTITUTE(AF67,";",""))+1)</x:f>
        <x:v>4</x:v>
      </x:c>
      <x:c r="AK67" s="26" t="str">
        <x:v>Not dedicated</x:v>
      </x:c>
    </x:row>
    <x:row r="68" ht="56" customHeight="1">
      <x:c r="A68" s="26" t="str">
        <x:v>D2-064</x:v>
      </x:c>
      <x:c r="B68" s="26" t="str">
        <x:v>Philippine Animal Health Information System</x:v>
      </x:c>
      <x:c r="C68" s="26" t="str">
        <x:v>PhilAHIS</x:v>
      </x:c>
      <x:c r="D68" s="26" t="str">
        <x:v>DA-Bureau of Animal Industry</x:v>
      </x:c>
      <x:c r="E68" s="26" t="str">
        <x:v>National government</x:v>
      </x:c>
      <x:c r="F68" s="26" t="str">
        <x:v>Livestock and animal health</x:v>
      </x:c>
      <x:c r="G68" s="26" t="str">
        <x:v>National</x:v>
      </x:c>
      <x:c r="H68" s="26" t="str">
        <x:v>Disease surveillance and biosecurity</x:v>
      </x:c>
      <x:c r="I68" s="26" t="str">
        <x:v>Decision support / public service</x:v>
      </x:c>
      <x:c r="J68" s="26" t="str">
        <x:v>Pest, disease &amp; biosecurity</x:v>
      </x:c>
      <x:c r="K68" s="26" t="str">
        <x:v>Online animal-health reporting, surveillance and case tracking</x:v>
      </x:c>
      <x:c r="L68" s="26" t="str">
        <x:v>Web reporting system and dashboards</x:v>
      </x:c>
      <x:c r="M68" s="26" t="str">
        <x:v>Veterinary authorities, LGUs and animal-health workers</x:v>
      </x:c>
      <x:c r="N68" s="30" t="str">
        <x:v>Indirect</x:v>
      </x:c>
      <x:c r="O68" s="30" t="str">
        <x:v>Yes</x:v>
      </x:c>
      <x:c r="P68" s="30" t="str">
        <x:v>Indirect</x:v>
      </x:c>
      <x:c r="Q68" s="26" t="str">
        <x:v>Institutionalized</x:v>
      </x:c>
      <x:c r="R68" s="26" t="str">
        <x:v>Active / operational</x:v>
      </x:c>
      <x:c r="S68" s="26" t="str">
        <x:v>Live system accessible in 2026</x:v>
      </x:c>
      <x:c r="T68" s="26" t="str">
        <x:v>National disease-surveillance mandate</x:v>
      </x:c>
      <x:c r="U68" s="26" t="str">
        <x:v>Reporting completeness, standards, local capacity and cross-disease integration</x:v>
      </x:c>
      <x:c r="V68" s="26" t="str">
        <x:v>Owner, premise, location and health data are sensitive</x:v>
      </x:c>
      <x:c r="W68" s="26" t="str">
        <x:v>Animal-health surveillance feed</x:v>
      </x:c>
      <x:c r="X68" s="30" t="str">
        <x:v>High</x:v>
      </x:c>
      <x:c r="Y68" s="26" t="str">
        <x:v>Use standard disease, species, premise and event identifiers with controlled access</x:v>
      </x:c>
      <x:c r="Z68" s="32" t="str">
        <x:v>https://radss-philahis.bai.gov.ph/</x:v>
      </x:c>
      <x:c r="AA68" s="32" t="str">
        <x:v>https://nvqsd.bai.gov.ph/EServices</x:v>
      </x:c>
      <x:c r="AB68" s="30" t="str">
        <x:v>2026-07-11</x:v>
      </x:c>
      <x:c r="AC68" s="30" t="str">
        <x:v>High</x:v>
      </x:c>
      <x:c r="AD68" s="26"/>
      <x:c r="AE68" s="26" t="str">
        <x:v>Data infrastructure, interoperability &amp; dashboards</x:v>
      </x:c>
      <x:c r="AF68" s="26" t="str">
        <x:v>Pest, disease &amp; biosecurity; Data infrastructure, interoperability &amp; dashboards</x:v>
      </x:c>
      <x:c r="AG68" s="26" t="str">
        <x:v>Livestock — general</x:v>
      </x:c>
      <x:c r="AH68" s="26" t="str">
        <x:v>Animal/plant health &amp; biosecurity</x:v>
      </x:c>
      <x:c r="AI68" s="26" t="str">
        <x:v>Web / portal; Database / MIS; Dashboard / analytics</x:v>
      </x:c>
      <x:c r="AJ68" s="30" t="n">
        <x:f>IF(AF68="","",LEN(AF68)-LEN(SUBSTITUTE(AF68,";",""))+1)</x:f>
        <x:v>2</x:v>
      </x:c>
      <x:c r="AK68" s="26" t="str">
        <x:v>Livestock regulatory / animal-health</x:v>
      </x:c>
    </x:row>
    <x:row r="69" ht="56" customHeight="1">
      <x:c r="A69" s="26" t="str">
        <x:v>D2-065</x:v>
      </x:c>
      <x:c r="B69" s="26" t="str">
        <x:v>Bureau of Animal Industry E-Services Portal</x:v>
      </x:c>
      <x:c r="C69" s="26" t="str">
        <x:v>BAI E-Services</x:v>
      </x:c>
      <x:c r="D69" s="26" t="str">
        <x:v>DA-Bureau of Animal Industry</x:v>
      </x:c>
      <x:c r="E69" s="26" t="str">
        <x:v>National government</x:v>
      </x:c>
      <x:c r="F69" s="26" t="str">
        <x:v>Livestock and animal products</x:v>
      </x:c>
      <x:c r="G69" s="26" t="str">
        <x:v>National</x:v>
      </x:c>
      <x:c r="H69" s="26" t="str">
        <x:v>Registration, permits and regulation</x:v>
      </x:c>
      <x:c r="I69" s="26" t="str">
        <x:v>Decision support / public service</x:v>
      </x:c>
      <x:c r="J69" s="26" t="str">
        <x:v>Registry &amp; digital identity</x:v>
      </x:c>
      <x:c r="K69" s="26" t="str">
        <x:v>Online applications, accreditation, permits, certificates and facility registration</x:v>
      </x:c>
      <x:c r="L69" s="26" t="str">
        <x:v>Web portal and workflow management</x:v>
      </x:c>
      <x:c r="M69" s="26" t="str">
        <x:v>Farmers, handlers, businesses, veterinarians and regulators</x:v>
      </x:c>
      <x:c r="N69" s="30" t="str">
        <x:v>Indirect</x:v>
      </x:c>
      <x:c r="O69" s="30" t="str">
        <x:v>Indirect</x:v>
      </x:c>
      <x:c r="P69" s="30" t="str">
        <x:v>No</x:v>
      </x:c>
      <x:c r="Q69" s="26" t="str">
        <x:v>Institutionalized</x:v>
      </x:c>
      <x:c r="R69" s="26" t="str">
        <x:v>Active / operational</x:v>
      </x:c>
      <x:c r="S69" s="26" t="str">
        <x:v>Live multi-service portal in 2026</x:v>
      </x:c>
      <x:c r="T69" s="26" t="str">
        <x:v>Consolidated transaction and compliance portal</x:v>
      </x:c>
      <x:c r="U69" s="26" t="str">
        <x:v>User experience, document burden, cross-service identity and rural access</x:v>
      </x:c>
      <x:c r="V69" s="26" t="str">
        <x:v>Identity, business, animal and compliance records need strong controls</x:v>
      </x:c>
      <x:c r="W69" s="26" t="str">
        <x:v>Livestock regulatory-services connector</x:v>
      </x:c>
      <x:c r="X69" s="30" t="str">
        <x:v>High</x:v>
      </x:c>
      <x:c r="Y69" s="26" t="str">
        <x:v>Federate verified credentials and service status without exposing sensitive documents</x:v>
      </x:c>
      <x:c r="Z69" s="32" t="str">
        <x:v>https://www.bai.gov.ph/Home/E_Service</x:v>
      </x:c>
      <x:c r="AA69" s="32" t="str">
        <x:v>https://www.bai.gov.ph/</x:v>
      </x:c>
      <x:c r="AB69" s="30" t="str">
        <x:v>2026-07-11</x:v>
      </x:c>
      <x:c r="AC69" s="30" t="str">
        <x:v>High</x:v>
      </x:c>
      <x:c r="AD69" s="26"/>
      <x:c r="AE69" s="26" t="str">
        <x:v>Finance, insurance &amp; payments</x:v>
      </x:c>
      <x:c r="AF69" s="26" t="str">
        <x:v>Registry &amp; digital identity; Finance, insurance &amp; payments</x:v>
      </x:c>
      <x:c r="AG69" s="26" t="str">
        <x:v>Livestock — general</x:v>
      </x:c>
      <x:c r="AH69" s="26" t="str">
        <x:v>Registration &amp; identity; Finance, insurance &amp; payments</x:v>
      </x:c>
      <x:c r="AI69" s="26" t="str">
        <x:v>Web / portal</x:v>
      </x:c>
      <x:c r="AJ69" s="30" t="n">
        <x:f>IF(AF69="","",LEN(AF69)-LEN(SUBSTITUTE(AF69,";",""))+1)</x:f>
        <x:v>2</x:v>
      </x:c>
      <x:c r="AK69" s="26" t="str">
        <x:v>Livestock regulatory / animal-health</x:v>
      </x:c>
    </x:row>
    <x:row r="70" ht="56" customHeight="1">
      <x:c r="A70" s="26" t="str">
        <x:v>D2-066</x:v>
      </x:c>
      <x:c r="B70" s="26" t="str">
        <x:v>Livestock, Poultry and Feed Price/Data Analytics</x:v>
      </x:c>
      <x:c r="C70" s="26" t="str">
        <x:v>BAI Price Analytics</x:v>
      </x:c>
      <x:c r="D70" s="26" t="str">
        <x:v>DA-Bureau of Animal Industry</x:v>
      </x:c>
      <x:c r="E70" s="26" t="str">
        <x:v>National government</x:v>
      </x:c>
      <x:c r="F70" s="26" t="str">
        <x:v>Livestock, poultry and feed</x:v>
      </x:c>
      <x:c r="G70" s="26" t="str">
        <x:v>National</x:v>
      </x:c>
      <x:c r="H70" s="26" t="str">
        <x:v>Market information and analytics</x:v>
      </x:c>
      <x:c r="I70" s="26" t="str">
        <x:v>Information and advisory services</x:v>
      </x:c>
      <x:c r="J70" s="26" t="str">
        <x:v>Markets, e-commerce &amp; logistics</x:v>
      </x:c>
      <x:c r="K70" s="26" t="str">
        <x:v>Publishes livestock, poultry, feed ingredient and meat price/volume analytics</x:v>
      </x:c>
      <x:c r="L70" s="26" t="str">
        <x:v>Web reports and dashboards</x:v>
      </x:c>
      <x:c r="M70" s="26" t="str">
        <x:v>Producers, traders, policy makers and consumers</x:v>
      </x:c>
      <x:c r="N70" s="30" t="str">
        <x:v>Indirect</x:v>
      </x:c>
      <x:c r="O70" s="30" t="str">
        <x:v>Indirect</x:v>
      </x:c>
      <x:c r="P70" s="30" t="str">
        <x:v>No</x:v>
      </x:c>
      <x:c r="Q70" s="26" t="str">
        <x:v>Operational</x:v>
      </x:c>
      <x:c r="R70" s="26" t="str">
        <x:v>Active / operational</x:v>
      </x:c>
      <x:c r="S70" s="26" t="str">
        <x:v>Live BAI reporting pages in 2026</x:v>
      </x:c>
      <x:c r="T70" s="26" t="str">
        <x:v>Official sector-specific data source</x:v>
      </x:c>
      <x:c r="U70" s="26" t="str">
        <x:v>Freshness, geographic detail, machine readability and decision linkage</x:v>
      </x:c>
      <x:c r="V70" s="26" t="str">
        <x:v>Methodology and revision metadata should be explicit</x:v>
      </x:c>
      <x:c r="W70" s="26" t="str">
        <x:v>Livestock market-data feed</x:v>
      </x:c>
      <x:c r="X70" s="30" t="str">
        <x:v>Medium</x:v>
      </x:c>
      <x:c r="Y70" s="26" t="str">
        <x:v>Align APIs and market/geography identifiers with DA price systems</x:v>
      </x:c>
      <x:c r="Z70" s="32" t="str">
        <x:v>https://www.bai.gov.ph/Report/Livestock_Poultry</x:v>
      </x:c>
      <x:c r="AA70" s="32"/>
      <x:c r="AB70" s="30" t="str">
        <x:v>2026-07-11</x:v>
      </x:c>
      <x:c r="AC70" s="30" t="str">
        <x:v>High</x:v>
      </x:c>
      <x:c r="AD70" s="26"/>
      <x:c r="AE70" s="26" t="str">
        <x:v>Advisory &amp; e-extension; Data infrastructure, interoperability &amp; dashboards</x:v>
      </x:c>
      <x:c r="AF70" s="26" t="str">
        <x:v>Advisory &amp; e-extension; Markets, e-commerce &amp; logistics; Data infrastructure, interoperability &amp; dashboards</x:v>
      </x:c>
      <x:c r="AG70" s="26" t="str">
        <x:v>Rice / palay; Poultry / chicken / duck; Livestock — general</x:v>
      </x:c>
      <x:c r="AH70" s="26" t="str">
        <x:v>Inputs, seed &amp; feed; Logistics &amp; distribution; Markets &amp; trade; Extension, training &amp; support</x:v>
      </x:c>
      <x:c r="AI70" s="26" t="str">
        <x:v>Web / portal; Dashboard / analytics</x:v>
      </x:c>
      <x:c r="AJ70" s="30" t="n">
        <x:f>IF(AF70="","",LEN(AF70)-LEN(SUBSTITUTE(AF70,";",""))+1)</x:f>
        <x:v>3</x:v>
      </x:c>
      <x:c r="AK70" s="26" t="str">
        <x:v>Dedicated — poultry/chicken/duck</x:v>
      </x:c>
    </x:row>
    <x:row r="71" ht="56" customHeight="1">
      <x:c r="A71" s="26" t="str">
        <x:v>D2-067</x:v>
      </x:c>
      <x:c r="B71" s="26" t="str">
        <x:v>HIDIS and Transport Carrier Registration Online System</x:v>
      </x:c>
      <x:c r="C71" s="26" t="str">
        <x:v>HIDIS / TRACREG</x:v>
      </x:c>
      <x:c r="D71" s="26" t="str">
        <x:v>DA-Bureau of Animal Industry</x:v>
      </x:c>
      <x:c r="E71" s="26" t="str">
        <x:v>National government</x:v>
      </x:c>
      <x:c r="F71" s="26" t="str">
        <x:v>Livestock, poultry and animal products</x:v>
      </x:c>
      <x:c r="G71" s="26" t="str">
        <x:v>National</x:v>
      </x:c>
      <x:c r="H71" s="26" t="str">
        <x:v>Registration, logistics and biosecurity</x:v>
      </x:c>
      <x:c r="I71" s="26" t="str">
        <x:v>Decision support / public service</x:v>
      </x:c>
      <x:c r="J71" s="26" t="str">
        <x:v>Traceability, food safety &amp; MRV</x:v>
      </x:c>
      <x:c r="K71" s="26" t="str">
        <x:v>Online handler identification and licensing of transport carriers</x:v>
      </x:c>
      <x:c r="L71" s="26" t="str">
        <x:v>Web application and regulatory workflow</x:v>
      </x:c>
      <x:c r="M71" s="26" t="str">
        <x:v>Handlers, carriers, businesses and BAI</x:v>
      </x:c>
      <x:c r="N71" s="30" t="str">
        <x:v>Indirect</x:v>
      </x:c>
      <x:c r="O71" s="30" t="str">
        <x:v>Indirect</x:v>
      </x:c>
      <x:c r="P71" s="30" t="str">
        <x:v>Indirect</x:v>
      </x:c>
      <x:c r="Q71" s="26" t="str">
        <x:v>Institutionalized / newly full online</x:v>
      </x:c>
      <x:c r="R71" s="26" t="str">
        <x:v>Active / operational</x:v>
      </x:c>
      <x:c r="S71" s="26" t="str">
        <x:v>Full implementation announced for July 1, 2026</x:v>
      </x:c>
      <x:c r="T71" s="26" t="str">
        <x:v>Current national rollout and direct traceability relevance</x:v>
      </x:c>
      <x:c r="U71" s="26" t="str">
        <x:v>Onboarding, identity matching, enforcement and rural access</x:v>
      </x:c>
      <x:c r="V71" s="26" t="str">
        <x:v>Personal, business, vehicle, route and compliance data are sensitive</x:v>
      </x:c>
      <x:c r="W71" s="26" t="str">
        <x:v>Livestock logistics credential source</x:v>
      </x:c>
      <x:c r="X71" s="30" t="str">
        <x:v>High</x:v>
      </x:c>
      <x:c r="Y71" s="26" t="str">
        <x:v>Use verified credentials and auditable shipment links across systems</x:v>
      </x:c>
      <x:c r="Z71" s="32" t="str">
        <x:v>https://www.bai.gov.ph/Home/Readmore/CfDJ8DHMkXfHAkNGvEBqCJONkzN5Ba1p65d61hAGgZMp-8JDHFZP8MEHTKnwaNeHzZY0-Ha38ZWXeAPuxu-bRtyvzhR6_pOK4n3ARxCd3eFaENnG_dngD5qahPQzgoaw-c-X2g</x:v>
      </x:c>
      <x:c r="AA71" s="32" t="str">
        <x:v>https://www.bai.gov.ph/</x:v>
      </x:c>
      <x:c r="AB71" s="30" t="str">
        <x:v>2026-07-11</x:v>
      </x:c>
      <x:c r="AC71" s="30" t="str">
        <x:v>High</x:v>
      </x:c>
      <x:c r="AD71" s="26"/>
      <x:c r="AE71" s="26" t="str">
        <x:v>Registry &amp; digital identity; Pest, disease &amp; biosecurity; Markets, e-commerce &amp; logistics</x:v>
      </x:c>
      <x:c r="AF71" s="26" t="str">
        <x:v>Registry &amp; digital identity; Pest, disease &amp; biosecurity; Markets, e-commerce &amp; logistics; Traceability, food safety &amp; MRV</x:v>
      </x:c>
      <x:c r="AG71" s="26" t="str">
        <x:v>Poultry / chicken / duck; Livestock — general</x:v>
      </x:c>
      <x:c r="AH71" s="26" t="str">
        <x:v>Registration &amp; identity; Animal/plant health &amp; biosecurity; Processing &amp; quality; Logistics &amp; distribution; Traceability, compliance &amp; MRV</x:v>
      </x:c>
      <x:c r="AI71" s="26" t="str">
        <x:v>Web / portal</x:v>
      </x:c>
      <x:c r="AJ71" s="30" t="n">
        <x:f>IF(AF71="","",LEN(AF71)-LEN(SUBSTITUTE(AF71,";",""))+1)</x:f>
        <x:v>4</x:v>
      </x:c>
      <x:c r="AK71" s="26" t="str">
        <x:v>Dedicated — poultry/chicken/duck</x:v>
      </x:c>
    </x:row>
    <x:row r="72" ht="56" customHeight="1">
      <x:c r="A72" s="26" t="str">
        <x:v>D2-068</x:v>
      </x:c>
      <x:c r="B72" s="26" t="str">
        <x:v>PCIC Computer-Assisted Personal Interview / Digital Field Enrollment</x:v>
      </x:c>
      <x:c r="C72" s="26" t="str">
        <x:v>PCIC CAPI</x:v>
      </x:c>
      <x:c r="D72" s="26" t="str">
        <x:v>Philippine Crop Insurance Corporation</x:v>
      </x:c>
      <x:c r="E72" s="26" t="str">
        <x:v>Government corporation</x:v>
      </x:c>
      <x:c r="F72" s="26" t="str">
        <x:v>Agricultural insurance</x:v>
      </x:c>
      <x:c r="G72" s="26" t="str">
        <x:v>National / field operations</x:v>
      </x:c>
      <x:c r="H72" s="26" t="str">
        <x:v>Finance, enrollment and assessment</x:v>
      </x:c>
      <x:c r="I72" s="26" t="str">
        <x:v>Fintech</x:v>
      </x:c>
      <x:c r="J72" s="26" t="str">
        <x:v>Finance, insurance &amp; payments</x:v>
      </x:c>
      <x:c r="K72" s="26" t="str">
        <x:v>Digitizes field interviews, enrollment and insurance-related data capture</x:v>
      </x:c>
      <x:c r="L72" s="26" t="str">
        <x:v>Mobile field collection and insurance MIS</x:v>
      </x:c>
      <x:c r="M72" s="26" t="str">
        <x:v>Farmers, PCIC staff and program managers</x:v>
      </x:c>
      <x:c r="N72" s="30" t="str">
        <x:v>Indirect</x:v>
      </x:c>
      <x:c r="O72" s="30" t="str">
        <x:v>Yes</x:v>
      </x:c>
      <x:c r="P72" s="30" t="str">
        <x:v>Indirect</x:v>
      </x:c>
      <x:c r="Q72" s="26" t="str">
        <x:v>Operational / evolving</x:v>
      </x:c>
      <x:c r="R72" s="26" t="str">
        <x:v>Status unverified</x:v>
      </x:c>
      <x:c r="S72" s="26" t="str">
        <x:v>Documented in the PIDS digital-agriculture review</x:v>
      </x:c>
      <x:c r="T72" s="26" t="str">
        <x:v>Direct linkage to agricultural risk financing</x:v>
      </x:c>
      <x:c r="U72" s="26" t="str">
        <x:v>Data quality, claims turnaround, transparency and system fragmentation</x:v>
      </x:c>
      <x:c r="V72" s="26" t="str">
        <x:v>Highly sensitive identity, farm, financial and loss data require consent</x:v>
      </x:c>
      <x:c r="W72" s="26" t="str">
        <x:v>Insurance referral and risk-data connector</x:v>
      </x:c>
      <x:c r="X72" s="30" t="str">
        <x:v>High</x:v>
      </x:c>
      <x:c r="Y72" s="26" t="str">
        <x:v>Use consented eligibility/status checks and claims evidence, not raw personal files</x:v>
      </x:c>
      <x:c r="Z72" s="32" t="str">
        <x:v>https://pidswebs.pids.gov.ph/CDN/document/pidsdps2329.pdf</x:v>
      </x:c>
      <x:c r="AA72" s="32" t="str">
        <x:v>https://pcic.gov.ph/</x:v>
      </x:c>
      <x:c r="AB72" s="30" t="str">
        <x:v>2026-07-11</x:v>
      </x:c>
      <x:c r="AC72" s="30" t="str">
        <x:v>Medium</x:v>
      </x:c>
      <x:c r="AD72" s="26"/>
      <x:c r="AE72" s="26" t="str"/>
      <x:c r="AF72" s="26" t="str">
        <x:v>Finance, insurance &amp; payments</x:v>
      </x:c>
      <x:c r="AG72" s="26" t="str">
        <x:v>Agriculture — general</x:v>
      </x:c>
      <x:c r="AH72" s="26" t="str">
        <x:v>Finance, insurance &amp; payments</x:v>
      </x:c>
      <x:c r="AI72" s="26" t="str">
        <x:v>Mobile / Android; Database / MIS</x:v>
      </x:c>
      <x:c r="AJ72" s="30" t="n">
        <x:f>IF(AF72="","",LEN(AF72)-LEN(SUBSTITUTE(AF72,";",""))+1)</x:f>
        <x:v>1</x:v>
      </x:c>
      <x:c r="AK72" s="26" t="str">
        <x:v>Not dedicated</x:v>
      </x:c>
    </x:row>
    <x:row r="73" ht="56" customHeight="1">
      <x:c r="A73" s="26" t="str">
        <x:v>D2-069</x:v>
      </x:c>
      <x:c r="B73" s="26" t="str">
        <x:v>Cropital</x:v>
      </x:c>
      <x:c r="C73" s="26" t="str">
        <x:v>Cropital</x:v>
      </x:c>
      <x:c r="D73" s="26" t="str">
        <x:v>Cropital</x:v>
      </x:c>
      <x:c r="E73" s="26" t="str">
        <x:v>Private social enterprise</x:v>
      </x:c>
      <x:c r="F73" s="26" t="str">
        <x:v>Multiple crops</x:v>
      </x:c>
      <x:c r="G73" s="26" t="str">
        <x:v>Philippines</x:v>
      </x:c>
      <x:c r="H73" s="26" t="str">
        <x:v>Finance, production and market support</x:v>
      </x:c>
      <x:c r="I73" s="26" t="str">
        <x:v>Fintech</x:v>
      </x:c>
      <x:c r="J73" s="26" t="str">
        <x:v>Finance, insurance &amp; payments</x:v>
      </x:c>
      <x:c r="K73" s="26" t="str">
        <x:v>Crowdfunding and value-chain finance linking investors with smallholders</x:v>
      </x:c>
      <x:c r="L73" s="26" t="str">
        <x:v>Web financing platform and field operations</x:v>
      </x:c>
      <x:c r="M73" s="26" t="str">
        <x:v>Farmers, investors and buyers</x:v>
      </x:c>
      <x:c r="N73" s="30" t="str">
        <x:v>Yes</x:v>
      </x:c>
      <x:c r="O73" s="30" t="str">
        <x:v>Yes</x:v>
      </x:c>
      <x:c r="P73" s="30" t="str">
        <x:v>Indirect</x:v>
      </x:c>
      <x:c r="Q73" s="26" t="str">
        <x:v>Commercial / social enterprise</x:v>
      </x:c>
      <x:c r="R73" s="26" t="str">
        <x:v>Active / operational</x:v>
      </x:c>
      <x:c r="S73" s="26" t="str">
        <x:v>Live website and long-running public operation</x:v>
      </x:c>
      <x:c r="T73" s="26" t="str">
        <x:v>Clear farmer-finance use case plus field support</x:v>
      </x:c>
      <x:c r="U73" s="26" t="str">
        <x:v>Regulation, production risk, investor protection and transparent outcomes</x:v>
      </x:c>
      <x:c r="V73" s="26" t="str">
        <x:v>Financial and farm data require strong consent, security and regulatory compliance</x:v>
      </x:c>
      <x:c r="W73" s="26" t="str">
        <x:v>Finance referral and partner service</x:v>
      </x:c>
      <x:c r="X73" s="30" t="str">
        <x:v>Medium</x:v>
      </x:c>
      <x:c r="Y73" s="26" t="str">
        <x:v>Use opt-in referrals with transparent terms, complaints and outcome reporting</x:v>
      </x:c>
      <x:c r="Z73" s="32" t="str">
        <x:v>https://www.cropital.com/</x:v>
      </x:c>
      <x:c r="AA73" s="32" t="str">
        <x:v>https://sti-portal.fao.org/innovations/cropital</x:v>
      </x:c>
      <x:c r="AB73" s="30" t="str">
        <x:v>2026-07-11</x:v>
      </x:c>
      <x:c r="AC73" s="30" t="str">
        <x:v>High</x:v>
      </x:c>
      <x:c r="AD73" s="26"/>
      <x:c r="AE73" s="26" t="str">
        <x:v>Markets, e-commerce &amp; logistics</x:v>
      </x:c>
      <x:c r="AF73" s="26" t="str">
        <x:v>Markets, e-commerce &amp; logistics; Finance, insurance &amp; payments</x:v>
      </x:c>
      <x:c r="AG73" s="26" t="str">
        <x:v>Cross-sector</x:v>
      </x:c>
      <x:c r="AH73" s="26" t="str">
        <x:v>Production &amp; farm management; Markets &amp; trade; Finance, insurance &amp; payments</x:v>
      </x:c>
      <x:c r="AI73" s="26" t="str">
        <x:v>Web / portal</x:v>
      </x:c>
      <x:c r="AJ73" s="30" t="n">
        <x:f>IF(AF73="","",LEN(AF73)-LEN(SUBSTITUTE(AF73,";",""))+1)</x:f>
        <x:v>2</x:v>
      </x:c>
      <x:c r="AK73" s="26" t="str">
        <x:v>Not dedicated</x:v>
      </x:c>
    </x:row>
    <x:row r="74" ht="56" customHeight="1">
      <x:c r="A74" s="26" t="str">
        <x:v>D2-070</x:v>
      </x:c>
      <x:c r="B74" s="26" t="str">
        <x:v>FarmOn</x:v>
      </x:c>
      <x:c r="C74" s="26" t="str">
        <x:v>FarmOn</x:v>
      </x:c>
      <x:c r="D74" s="26" t="str">
        <x:v>FarmOn</x:v>
      </x:c>
      <x:c r="E74" s="26" t="str">
        <x:v>Private company</x:v>
      </x:c>
      <x:c r="F74" s="26" t="str">
        <x:v>Multiple crops and livestock</x:v>
      </x:c>
      <x:c r="G74" s="26" t="str">
        <x:v>Philippines</x:v>
      </x:c>
      <x:c r="H74" s="26" t="str">
        <x:v>Farm-project finance</x:v>
      </x:c>
      <x:c r="I74" s="26" t="str">
        <x:v>Fintech</x:v>
      </x:c>
      <x:c r="J74" s="26" t="str">
        <x:v>Finance, insurance &amp; payments</x:v>
      </x:c>
      <x:c r="K74" s="26" t="str">
        <x:v>Online participation and financing of farm projects</x:v>
      </x:c>
      <x:c r="L74" s="26" t="str">
        <x:v>Web platform</x:v>
      </x:c>
      <x:c r="M74" s="26" t="str">
        <x:v>Farmers, project operators and participants</x:v>
      </x:c>
      <x:c r="N74" s="30" t="str">
        <x:v>Indirect</x:v>
      </x:c>
      <x:c r="O74" s="30" t="str">
        <x:v>Indirect</x:v>
      </x:c>
      <x:c r="P74" s="30" t="str">
        <x:v>Indirect</x:v>
      </x:c>
      <x:c r="Q74" s="26" t="str">
        <x:v>Commercial / legacy</x:v>
      </x:c>
      <x:c r="R74" s="26" t="str">
        <x:v>Status unverified</x:v>
      </x:c>
      <x:c r="S74" s="26" t="str">
        <x:v>Included in the PIDS 2023 fintech inventory</x:v>
      </x:c>
      <x:c r="T74" s="26" t="str">
        <x:v>Early-mover visibility</x:v>
      </x:c>
      <x:c r="U74" s="26" t="str">
        <x:v>Current status, regulation, transparency and participant protection</x:v>
      </x:c>
      <x:c r="V74" s="26" t="str">
        <x:v>Financial and farm-project data are sensitive; interfaces are not public</x:v>
      </x:c>
      <x:c r="W74" s="26" t="str">
        <x:v>External finance watchlist</x:v>
      </x:c>
      <x:c r="X74" s="30" t="str">
        <x:v>Low</x:v>
      </x:c>
      <x:c r="Y74" s="26" t="str">
        <x:v>Do not integrate deeply until legal, operating and safeguarding status is verified</x:v>
      </x:c>
      <x:c r="Z74" s="32" t="str">
        <x:v>https://www.farmon.ph/</x:v>
      </x:c>
      <x:c r="AA74" s="32" t="str">
        <x:v>https://pidswebs.pids.gov.ph/CDN/document/pidsdps2329.pdf</x:v>
      </x:c>
      <x:c r="AB74" s="30" t="str">
        <x:v>2026-07-11</x:v>
      </x:c>
      <x:c r="AC74" s="30" t="str">
        <x:v>Low</x:v>
      </x:c>
      <x:c r="AD74" s="26"/>
      <x:c r="AE74" s="26" t="str"/>
      <x:c r="AF74" s="26" t="str">
        <x:v>Finance, insurance &amp; payments</x:v>
      </x:c>
      <x:c r="AG74" s="26" t="str">
        <x:v>Cross-sector; Livestock — general</x:v>
      </x:c>
      <x:c r="AH74" s="26" t="str">
        <x:v>Finance, insurance &amp; payments</x:v>
      </x:c>
      <x:c r="AI74" s="26" t="str">
        <x:v>Web / portal</x:v>
      </x:c>
      <x:c r="AJ74" s="30" t="n">
        <x:f>IF(AF74="","",LEN(AF74)-LEN(SUBSTITUTE(AF74,";",""))+1)</x:f>
        <x:v>1</x:v>
      </x:c>
      <x:c r="AK74" s="26" t="str">
        <x:v>Livestock regulatory / animal-health</x:v>
      </x:c>
    </x:row>
    <x:row r="75" ht="56" customHeight="1">
      <x:c r="A75" s="26" t="str">
        <x:v>D2-071</x:v>
      </x:c>
      <x:c r="B75" s="26" t="str">
        <x:v>Mayani</x:v>
      </x:c>
      <x:c r="C75" s="26" t="str">
        <x:v>Mayani</x:v>
      </x:c>
      <x:c r="D75" s="26" t="str">
        <x:v>Mayani</x:v>
      </x:c>
      <x:c r="E75" s="26" t="str">
        <x:v>Private social enterprise</x:v>
      </x:c>
      <x:c r="F75" s="26" t="str">
        <x:v>Agriculture and fisheries</x:v>
      </x:c>
      <x:c r="G75" s="26" t="str">
        <x:v>National / multi-region</x:v>
      </x:c>
      <x:c r="H75" s="26" t="str">
        <x:v>Market, inputs and finance</x:v>
      </x:c>
      <x:c r="I75" s="26" t="str">
        <x:v>E-commerce</x:v>
      </x:c>
      <x:c r="J75" s="26" t="str">
        <x:v>Markets, e-commerce &amp; logistics</x:v>
      </x:c>
      <x:c r="K75" s="26" t="str">
        <x:v>Full-stack platform connecting smallholders and fisherfolk to markets, inputs and credit</x:v>
      </x:c>
      <x:c r="L75" s="26" t="str">
        <x:v>Web, e-commerce and B2B supply chain</x:v>
      </x:c>
      <x:c r="M75" s="26" t="str">
        <x:v>Farmers, fisherfolk, consumers and institutional buyers</x:v>
      </x:c>
      <x:c r="N75" s="30" t="str">
        <x:v>Yes</x:v>
      </x:c>
      <x:c r="O75" s="30" t="str">
        <x:v>Indirect</x:v>
      </x:c>
      <x:c r="P75" s="30" t="str">
        <x:v>Indirect</x:v>
      </x:c>
      <x:c r="Q75" s="26" t="str">
        <x:v>Commercial / scaling</x:v>
      </x:c>
      <x:c r="R75" s="26" t="str">
        <x:v>Active / operational</x:v>
      </x:c>
      <x:c r="S75" s="26" t="str">
        <x:v>Live platform with multi-service operations</x:v>
      </x:c>
      <x:c r="T75" s="26" t="str">
        <x:v>Integrated value-chain proposition and buyer network</x:v>
      </x:c>
      <x:c r="U75" s="26" t="str">
        <x:v>Working capital, logistics, quality consistency, terms and unit economics</x:v>
      </x:c>
      <x:c r="V75" s="26" t="str">
        <x:v>Farmer, buyer, transaction and credit data require clear rights</x:v>
      </x:c>
      <x:c r="W75" s="26" t="str">
        <x:v>Marketplace, buyer and service connector</x:v>
      </x:c>
      <x:c r="X75" s="30" t="str">
        <x:v>High</x:v>
      </x:c>
      <x:c r="Y75" s="26" t="str">
        <x:v>Integrate opt-in listings, demand signals and orders with transparent service levels</x:v>
      </x:c>
      <x:c r="Z75" s="32" t="str">
        <x:v>https://mayani.ph/</x:v>
      </x:c>
      <x:c r="AA75" s="32" t="str">
        <x:v>https://sti-portal.fao.org/innovations/mayani-philippines</x:v>
      </x:c>
      <x:c r="AB75" s="30" t="str">
        <x:v>2026-07-11</x:v>
      </x:c>
      <x:c r="AC75" s="30" t="str">
        <x:v>High</x:v>
      </x:c>
      <x:c r="AD75" s="26"/>
      <x:c r="AE75" s="26" t="str">
        <x:v>Finance, insurance &amp; payments; Fisheries &amp; aquaculture</x:v>
      </x:c>
      <x:c r="AF75" s="26" t="str">
        <x:v>Markets, e-commerce &amp; logistics; Finance, insurance &amp; payments; Fisheries &amp; aquaculture</x:v>
      </x:c>
      <x:c r="AG75" s="26" t="str">
        <x:v>Fisheries &amp; aquaculture</x:v>
      </x:c>
      <x:c r="AH75" s="26" t="str">
        <x:v>Inputs, seed &amp; feed; Logistics &amp; distribution; Markets &amp; trade; Finance, insurance &amp; payments</x:v>
      </x:c>
      <x:c r="AI75" s="26" t="str">
        <x:v>Web / portal</x:v>
      </x:c>
      <x:c r="AJ75" s="30" t="n">
        <x:f>IF(AF75="","",LEN(AF75)-LEN(SUBSTITUTE(AF75,";",""))+1)</x:f>
        <x:v>3</x:v>
      </x:c>
      <x:c r="AK75" s="26" t="str">
        <x:v>Not dedicated</x:v>
      </x:c>
    </x:row>
    <x:row r="76" ht="56" customHeight="1">
      <x:c r="A76" s="26" t="str">
        <x:v>D2-072</x:v>
      </x:c>
      <x:c r="B76" s="26" t="str">
        <x:v>KITA Agritech</x:v>
      </x:c>
      <x:c r="C76" s="26" t="str">
        <x:v>KITA</x:v>
      </x:c>
      <x:c r="D76" s="26" t="str">
        <x:v>Kita Agribusiness Corporation</x:v>
      </x:c>
      <x:c r="E76" s="26" t="str">
        <x:v>Private company</x:v>
      </x:c>
      <x:c r="F76" s="26" t="str">
        <x:v>Fresh produce</x:v>
      </x:c>
      <x:c r="G76" s="26" t="str">
        <x:v>National / major urban markets</x:v>
      </x:c>
      <x:c r="H76" s="26" t="str">
        <x:v>Aggregation, logistics and market</x:v>
      </x:c>
      <x:c r="I76" s="26" t="str">
        <x:v>E-commerce</x:v>
      </x:c>
      <x:c r="J76" s="26" t="str">
        <x:v>Markets, e-commerce &amp; logistics</x:v>
      </x:c>
      <x:c r="K76" s="26" t="str">
        <x:v>Digitizes produce sourcing, aggregation, distribution and buyer linkage</x:v>
      </x:c>
      <x:c r="L76" s="26" t="str">
        <x:v>B2B commerce, logistics and supply-chain operations</x:v>
      </x:c>
      <x:c r="M76" s="26" t="str">
        <x:v>Farmers, hotels, restaurants and retailers</x:v>
      </x:c>
      <x:c r="N76" s="30" t="str">
        <x:v>Yes</x:v>
      </x:c>
      <x:c r="O76" s="30" t="str">
        <x:v>Indirect</x:v>
      </x:c>
      <x:c r="P76" s="30" t="str">
        <x:v>Indirect</x:v>
      </x:c>
      <x:c r="Q76" s="26" t="str">
        <x:v>Commercial / scaling</x:v>
      </x:c>
      <x:c r="R76" s="26" t="str">
        <x:v>Active / operational</x:v>
      </x:c>
      <x:c r="S76" s="26" t="str">
        <x:v>Operating since 2022; financing and institutional partnerships documented</x:v>
      </x:c>
      <x:c r="T76" s="26" t="str">
        <x:v>Commercial capital, buyer demand and logistics focus</x:v>
      </x:c>
      <x:c r="U76" s="26" t="str">
        <x:v>Supply consistency, working capital, quality, cold chain and farmer terms</x:v>
      </x:c>
      <x:c r="V76" s="26" t="str">
        <x:v>Supplier, price and commercial data need clear ownership and portability</x:v>
      </x:c>
      <x:c r="W76" s="26" t="str">
        <x:v>Buyer and logistics connector</x:v>
      </x:c>
      <x:c r="X76" s="30" t="str">
        <x:v>High</x:v>
      </x:c>
      <x:c r="Y76" s="26" t="str">
        <x:v>Share aggregated demand and opt-in supplier referrals with transparent terms</x:v>
      </x:c>
      <x:c r="Z76" s="32" t="str">
        <x:v>https://kita.ai/</x:v>
      </x:c>
      <x:c r="AA76" s="32" t="str">
        <x:v>https://www.landbank.com/index.php/news/expanding-financial-access-for-small-farmers-landbank-partners-with-kita-agritech-tao-foods-to-boost-agri-modernization</x:v>
      </x:c>
      <x:c r="AB76" s="30" t="str">
        <x:v>2026-07-11</x:v>
      </x:c>
      <x:c r="AC76" s="30" t="str">
        <x:v>High</x:v>
      </x:c>
      <x:c r="AD76" s="26"/>
      <x:c r="AE76" s="26" t="str"/>
      <x:c r="AF76" s="26" t="str">
        <x:v>Markets, e-commerce &amp; logistics</x:v>
      </x:c>
      <x:c r="AG76" s="26" t="str">
        <x:v>Agriculture — general</x:v>
      </x:c>
      <x:c r="AH76" s="26" t="str">
        <x:v>Logistics &amp; distribution; Markets &amp; trade</x:v>
      </x:c>
      <x:c r="AI76" s="26" t="str">
        <x:v>Digital service — unspecified stack</x:v>
      </x:c>
      <x:c r="AJ76" s="30" t="n">
        <x:f>IF(AF76="","",LEN(AF76)-LEN(SUBSTITUTE(AF76,";",""))+1)</x:f>
        <x:v>1</x:v>
      </x:c>
      <x:c r="AK76" s="26" t="str">
        <x:v>Not dedicated</x:v>
      </x:c>
    </x:row>
    <x:row r="77" ht="56" customHeight="1">
      <x:c r="A77" s="26" t="str">
        <x:v>D2-073</x:v>
      </x:c>
      <x:c r="B77" s="26" t="str">
        <x:v>GOEdenPH</x:v>
      </x:c>
      <x:c r="C77" s="26" t="str">
        <x:v>GOEden</x:v>
      </x:c>
      <x:c r="D77" s="26" t="str">
        <x:v>GOEden</x:v>
      </x:c>
      <x:c r="E77" s="26" t="str">
        <x:v>Private company</x:v>
      </x:c>
      <x:c r="F77" s="26" t="str">
        <x:v>Agricultural inputs and services</x:v>
      </x:c>
      <x:c r="G77" s="26" t="str">
        <x:v>National shipping</x:v>
      </x:c>
      <x:c r="H77" s="26" t="str">
        <x:v>Input sourcing</x:v>
      </x:c>
      <x:c r="I77" s="26" t="str">
        <x:v>E-commerce</x:v>
      </x:c>
      <x:c r="J77" s="26" t="str">
        <x:v>Inputs, seed &amp; nutrient tools</x:v>
      </x:c>
      <x:c r="K77" s="26" t="str">
        <x:v>Online marketplace for seeds, fertilizers, pesticides, equipment and services</x:v>
      </x:c>
      <x:c r="L77" s="26" t="str">
        <x:v>Web e-commerce, social commerce and physical store</x:v>
      </x:c>
      <x:c r="M77" s="26" t="str">
        <x:v>Farmers, gardeners and agribusinesses</x:v>
      </x:c>
      <x:c r="N77" s="30" t="str">
        <x:v>Yes</x:v>
      </x:c>
      <x:c r="O77" s="30" t="str">
        <x:v>Indirect</x:v>
      </x:c>
      <x:c r="P77" s="30" t="str">
        <x:v>Indirect</x:v>
      </x:c>
      <x:c r="Q77" s="26" t="str">
        <x:v>Commercial / scaling</x:v>
      </x:c>
      <x:c r="R77" s="26" t="str">
        <x:v>Active / operational</x:v>
      </x:c>
      <x:c r="S77" s="26" t="str">
        <x:v>Live website; operating since 2020 and featured at ICTforAg</x:v>
      </x:c>
      <x:c r="T77" s="26" t="str">
        <x:v>Focused agri-input catalog and national logistics</x:v>
      </x:c>
      <x:c r="U77" s="26" t="str">
        <x:v>Authenticity, advisory liability, affordability and responsible pesticide use</x:v>
      </x:c>
      <x:c r="V77" s="26" t="str">
        <x:v>Customer and purchase data require standard commerce safeguards</x:v>
      </x:c>
      <x:c r="W77" s="26" t="str">
        <x:v>Input marketplace and supplier connector</x:v>
      </x:c>
      <x:c r="X77" s="30" t="str">
        <x:v>High</x:v>
      </x:c>
      <x:c r="Y77" s="26" t="str">
        <x:v>Integrate verified sellers, product registrations, labels and responsible-use advisories</x:v>
      </x:c>
      <x:c r="Z77" s="32" t="str">
        <x:v>https://goedenph.com/</x:v>
      </x:c>
      <x:c r="AA77" s="32" t="str">
        <x:v>https://www.irri.org/news-and-events/news/philippines-stakeholders-are-charting-future-digital-agriculture</x:v>
      </x:c>
      <x:c r="AB77" s="30" t="str">
        <x:v>2026-07-11</x:v>
      </x:c>
      <x:c r="AC77" s="30" t="str">
        <x:v>High</x:v>
      </x:c>
      <x:c r="AD77" s="26"/>
      <x:c r="AE77" s="26" t="str">
        <x:v>Pest, disease &amp; biosecurity; Markets, e-commerce &amp; logistics</x:v>
      </x:c>
      <x:c r="AF77" s="26" t="str">
        <x:v>Pest, disease &amp; biosecurity; Inputs, seed &amp; nutrient tools; Markets, e-commerce &amp; logistics</x:v>
      </x:c>
      <x:c r="AG77" s="26" t="str">
        <x:v>Seeds / germplasm / breeds</x:v>
      </x:c>
      <x:c r="AH77" s="26" t="str">
        <x:v>Inputs, seed &amp; feed; Animal/plant health &amp; biosecurity; Markets &amp; trade</x:v>
      </x:c>
      <x:c r="AI77" s="26" t="str">
        <x:v>Web / portal</x:v>
      </x:c>
      <x:c r="AJ77" s="30" t="n">
        <x:f>IF(AF77="","",LEN(AF77)-LEN(SUBSTITUTE(AF77,";",""))+1)</x:f>
        <x:v>3</x:v>
      </x:c>
      <x:c r="AK77" s="26" t="str">
        <x:v>Not dedicated</x:v>
      </x:c>
    </x:row>
    <x:row r="78" ht="56" customHeight="1">
      <x:c r="A78" s="26" t="str">
        <x:v>D2-074</x:v>
      </x:c>
      <x:c r="B78" s="26" t="str">
        <x:v>Agrabah Marketplace</x:v>
      </x:c>
      <x:c r="C78" s="26" t="str">
        <x:v>Agrabah</x:v>
      </x:c>
      <x:c r="D78" s="26" t="str">
        <x:v>Agrabah Ventures and partners</x:v>
      </x:c>
      <x:c r="E78" s="26" t="str">
        <x:v>Private company / social enterprise</x:v>
      </x:c>
      <x:c r="F78" s="26" t="str">
        <x:v>Agriculture and food</x:v>
      </x:c>
      <x:c r="G78" s="26" t="str">
        <x:v>Philippines</x:v>
      </x:c>
      <x:c r="H78" s="26" t="str">
        <x:v>Market linkage and logistics</x:v>
      </x:c>
      <x:c r="I78" s="26" t="str">
        <x:v>E-commerce</x:v>
      </x:c>
      <x:c r="J78" s="26" t="str">
        <x:v>Markets, e-commerce &amp; logistics</x:v>
      </x:c>
      <x:c r="K78" s="26" t="str">
        <x:v>Digital marketplace connecting producers, buyers and value-chain services</x:v>
      </x:c>
      <x:c r="L78" s="26" t="str">
        <x:v>Web/mobile marketplace</x:v>
      </x:c>
      <x:c r="M78" s="26" t="str">
        <x:v>Farmers, buyers and food businesses</x:v>
      </x:c>
      <x:c r="N78" s="30" t="str">
        <x:v>Indirect</x:v>
      </x:c>
      <x:c r="O78" s="30" t="str">
        <x:v>Indirect</x:v>
      </x:c>
      <x:c r="P78" s="30" t="str">
        <x:v>Indirect</x:v>
      </x:c>
      <x:c r="Q78" s="26" t="str">
        <x:v>Commercial / early-stage</x:v>
      </x:c>
      <x:c r="R78" s="26" t="str">
        <x:v>Status unverified</x:v>
      </x:c>
      <x:c r="S78" s="26" t="str">
        <x:v>Included in the PIDS 2023 e-commerce inventory</x:v>
      </x:c>
      <x:c r="T78" s="26" t="str">
        <x:v>Agriculture-specific market proposition</x:v>
      </x:c>
      <x:c r="U78" s="26" t="str">
        <x:v>Current operating status, liquidity, logistics, trust and scale</x:v>
      </x:c>
      <x:c r="V78" s="26" t="str">
        <x:v>Transaction and producer-data governance are not public</x:v>
      </x:c>
      <x:c r="W78" s="26" t="str">
        <x:v>External marketplace watchlist</x:v>
      </x:c>
      <x:c r="X78" s="30" t="str">
        <x:v>Low</x:v>
      </x:c>
      <x:c r="Y78" s="26" t="str">
        <x:v>Verify current operation and data portability before active integration</x:v>
      </x:c>
      <x:c r="Z78" s="32" t="str">
        <x:v>https://agrabah.ph/</x:v>
      </x:c>
      <x:c r="AA78" s="32" t="str">
        <x:v>https://pidswebs.pids.gov.ph/CDN/document/pidsdps2329.pdf</x:v>
      </x:c>
      <x:c r="AB78" s="30" t="str">
        <x:v>2026-07-11</x:v>
      </x:c>
      <x:c r="AC78" s="30" t="str">
        <x:v>Low</x:v>
      </x:c>
      <x:c r="AD78" s="26"/>
      <x:c r="AE78" s="26" t="str"/>
      <x:c r="AF78" s="26" t="str">
        <x:v>Markets, e-commerce &amp; logistics</x:v>
      </x:c>
      <x:c r="AG78" s="26" t="str">
        <x:v>Agriculture — general</x:v>
      </x:c>
      <x:c r="AH78" s="26" t="str">
        <x:v>Logistics &amp; distribution; Markets &amp; trade</x:v>
      </x:c>
      <x:c r="AI78" s="26" t="str">
        <x:v>Web / portal; Mobile / Android</x:v>
      </x:c>
      <x:c r="AJ78" s="30" t="n">
        <x:f>IF(AF78="","",LEN(AF78)-LEN(SUBSTITUTE(AF78,";",""))+1)</x:f>
        <x:v>1</x:v>
      </x:c>
      <x:c r="AK78" s="26" t="str">
        <x:v>Not dedicated</x:v>
      </x:c>
    </x:row>
    <x:row r="79" ht="56" customHeight="1">
      <x:c r="A79" s="26" t="str">
        <x:v>D2-075</x:v>
      </x:c>
      <x:c r="B79" s="26" t="str">
        <x:v>Agro-DigitalPH</x:v>
      </x:c>
      <x:c r="C79" s="26" t="str">
        <x:v>Agro-DigitalPH</x:v>
      </x:c>
      <x:c r="D79" s="26" t="str">
        <x:v>Agro-DigitalPH</x:v>
      </x:c>
      <x:c r="E79" s="26" t="str">
        <x:v>Private agribusiness platform</x:v>
      </x:c>
      <x:c r="F79" s="26" t="str">
        <x:v>Agriculture and food</x:v>
      </x:c>
      <x:c r="G79" s="26" t="str">
        <x:v>Philippines</x:v>
      </x:c>
      <x:c r="H79" s="26" t="str">
        <x:v>Market linkage and agribusiness</x:v>
      </x:c>
      <x:c r="I79" s="26" t="str">
        <x:v>E-commerce</x:v>
      </x:c>
      <x:c r="J79" s="26" t="str">
        <x:v>Markets, e-commerce &amp; logistics</x:v>
      </x:c>
      <x:c r="K79" s="26" t="str">
        <x:v>Digital agribusiness and supply-chain platform</x:v>
      </x:c>
      <x:c r="L79" s="26" t="str">
        <x:v>Web and digital operations</x:v>
      </x:c>
      <x:c r="M79" s="26" t="str">
        <x:v>Farmers, agribusinesses and buyers</x:v>
      </x:c>
      <x:c r="N79" s="30" t="str">
        <x:v>Indirect</x:v>
      </x:c>
      <x:c r="O79" s="30" t="str">
        <x:v>Indirect</x:v>
      </x:c>
      <x:c r="P79" s="30" t="str">
        <x:v>Indirect</x:v>
      </x:c>
      <x:c r="Q79" s="26" t="str">
        <x:v>Commercial / scaling</x:v>
      </x:c>
      <x:c r="R79" s="26" t="str">
        <x:v>Active / status partly verified</x:v>
      </x:c>
      <x:c r="S79" s="26" t="str">
        <x:v>Featured in a 2025 Philippine agribusiness digital-transformation case article</x:v>
      </x:c>
      <x:c r="T79" s="26" t="str">
        <x:v>Agriculture specialization and recent industry visibility</x:v>
      </x:c>
      <x:c r="U79" s="26" t="str">
        <x:v>Public product detail, reach, farmer terms, logistics and impact evidence</x:v>
      </x:c>
      <x:c r="V79" s="26" t="str">
        <x:v>Commercial and farmer-data rights are not publicly documented</x:v>
      </x:c>
      <x:c r="W79" s="26" t="str">
        <x:v>External agribusiness connector</x:v>
      </x:c>
      <x:c r="X79" s="30" t="str">
        <x:v>Medium</x:v>
      </x:c>
      <x:c r="Y79" s="26" t="str">
        <x:v>Obtain current product, users, data rights and outcome evidence before integration</x:v>
      </x:c>
      <x:c r="Z79" s="32" t="str">
        <x:v>https://bworldonline.com/opinion/2025/04/30/669172/digital-transformation-in-philippine-agribusiness-lessons-from-agro-digitalph-kita-agritech-and-benguet-agri-pinoy/</x:v>
      </x:c>
      <x:c r="AA79" s="32" t="str">
        <x:v>https://pidswebs.pids.gov.ph/CDN/document/pidsdps2329.pdf</x:v>
      </x:c>
      <x:c r="AB79" s="30" t="str">
        <x:v>2026-07-11</x:v>
      </x:c>
      <x:c r="AC79" s="30" t="str">
        <x:v>Medium</x:v>
      </x:c>
      <x:c r="AD79" s="26"/>
      <x:c r="AE79" s="26" t="str"/>
      <x:c r="AF79" s="26" t="str">
        <x:v>Markets, e-commerce &amp; logistics</x:v>
      </x:c>
      <x:c r="AG79" s="26" t="str">
        <x:v>Agriculture — general</x:v>
      </x:c>
      <x:c r="AH79" s="26" t="str">
        <x:v>Logistics &amp; distribution; Markets &amp; trade</x:v>
      </x:c>
      <x:c r="AI79" s="26" t="str">
        <x:v>Web / portal</x:v>
      </x:c>
      <x:c r="AJ79" s="30" t="n">
        <x:f>IF(AF79="","",LEN(AF79)-LEN(SUBSTITUTE(AF79,";",""))+1)</x:f>
        <x:v>1</x:v>
      </x:c>
      <x:c r="AK79" s="26" t="str">
        <x:v>Not dedicated</x:v>
      </x:c>
    </x:row>
    <x:row r="80" ht="56" customHeight="1">
      <x:c r="A80" s="26" t="str">
        <x:v>D2-076</x:v>
      </x:c>
      <x:c r="B80" s="26" t="str">
        <x:v>ANI Express</x:v>
      </x:c>
      <x:c r="C80" s="26" t="str">
        <x:v>ANI Express</x:v>
      </x:c>
      <x:c r="D80" s="26" t="str">
        <x:v>Private enterprise platform reported in PIDS</x:v>
      </x:c>
      <x:c r="E80" s="26" t="str">
        <x:v>Private company</x:v>
      </x:c>
      <x:c r="F80" s="26" t="str">
        <x:v>Food and agriculture</x:v>
      </x:c>
      <x:c r="G80" s="26" t="str">
        <x:v>Philippines</x:v>
      </x:c>
      <x:c r="H80" s="26" t="str">
        <x:v>Market and logistics</x:v>
      </x:c>
      <x:c r="I80" s="26" t="str">
        <x:v>E-commerce</x:v>
      </x:c>
      <x:c r="J80" s="26" t="str">
        <x:v>Markets, e-commerce &amp; logistics</x:v>
      </x:c>
      <x:c r="K80" s="26" t="str">
        <x:v>Online ordering and delivery of agricultural or food products</x:v>
      </x:c>
      <x:c r="L80" s="26" t="str">
        <x:v>Web/mobile e-commerce</x:v>
      </x:c>
      <x:c r="M80" s="26" t="str">
        <x:v>Consumers, producers and suppliers</x:v>
      </x:c>
      <x:c r="N80" s="30" t="str">
        <x:v>Indirect</x:v>
      </x:c>
      <x:c r="O80" s="30" t="str">
        <x:v>No</x:v>
      </x:c>
      <x:c r="P80" s="30" t="str">
        <x:v>No</x:v>
      </x:c>
      <x:c r="Q80" s="26" t="str">
        <x:v>Commercial / legacy listing</x:v>
      </x:c>
      <x:c r="R80" s="26" t="str">
        <x:v>Status unverified</x:v>
      </x:c>
      <x:c r="S80" s="26" t="str">
        <x:v>Included in the PIDS 2023 e-commerce list</x:v>
      </x:c>
      <x:c r="T80" s="26" t="str">
        <x:v>Digital ordering and logistics proposition</x:v>
      </x:c>
      <x:c r="U80" s="26" t="str">
        <x:v>Current operation, producer inclusion, unit economics and differentiation</x:v>
      </x:c>
      <x:c r="V80" s="26" t="str">
        <x:v>Transaction and customer-data practices require verification</x:v>
      </x:c>
      <x:c r="W80" s="26" t="str">
        <x:v>Catalog and watchlist</x:v>
      </x:c>
      <x:c r="X80" s="30" t="str">
        <x:v>Low</x:v>
      </x:c>
      <x:c r="Y80" s="26" t="str">
        <x:v>Retain only after verifying active agriculture-specific producer linkage</x:v>
      </x:c>
      <x:c r="Z80" s="32" t="str">
        <x:v>https://pidswebs.pids.gov.ph/CDN/document/pidsdps2329.pdf</x:v>
      </x:c>
      <x:c r="AA80" s="32"/>
      <x:c r="AB80" s="30" t="str">
        <x:v>2026-07-11</x:v>
      </x:c>
      <x:c r="AC80" s="30" t="str">
        <x:v>Low</x:v>
      </x:c>
      <x:c r="AD80" s="26"/>
      <x:c r="AE80" s="26" t="str"/>
      <x:c r="AF80" s="26" t="str">
        <x:v>Markets, e-commerce &amp; logistics</x:v>
      </x:c>
      <x:c r="AG80" s="26" t="str">
        <x:v>Agriculture — general</x:v>
      </x:c>
      <x:c r="AH80" s="26" t="str">
        <x:v>Logistics &amp; distribution; Markets &amp; trade</x:v>
      </x:c>
      <x:c r="AI80" s="26" t="str">
        <x:v>Web / portal; Mobile / Android</x:v>
      </x:c>
      <x:c r="AJ80" s="30" t="n">
        <x:f>IF(AF80="","",LEN(AF80)-LEN(SUBSTITUTE(AF80,";",""))+1)</x:f>
        <x:v>1</x:v>
      </x:c>
      <x:c r="AK80" s="26" t="str">
        <x:v>Not dedicated</x:v>
      </x:c>
    </x:row>
    <x:row r="81" ht="56" customHeight="1">
      <x:c r="A81" s="26" t="str">
        <x:v>D2-077</x:v>
      </x:c>
      <x:c r="B81" s="26" t="str">
        <x:v>Co-opBiz</x:v>
      </x:c>
      <x:c r="C81" s="26" t="str">
        <x:v>Co-opBiz</x:v>
      </x:c>
      <x:c r="D81" s="26" t="str">
        <x:v>Cooperative Development Authority / cooperative partners</x:v>
      </x:c>
      <x:c r="E81" s="26" t="str">
        <x:v>Government / cooperative sector</x:v>
      </x:c>
      <x:c r="F81" s="26" t="str">
        <x:v>Cross-sector cooperatives</x:v>
      </x:c>
      <x:c r="G81" s="26" t="str">
        <x:v>Philippines</x:v>
      </x:c>
      <x:c r="H81" s="26" t="str">
        <x:v>Market and enterprise</x:v>
      </x:c>
      <x:c r="I81" s="26" t="str">
        <x:v>E-commerce</x:v>
      </x:c>
      <x:c r="J81" s="26" t="str">
        <x:v>Markets, e-commerce &amp; logistics</x:v>
      </x:c>
      <x:c r="K81" s="26" t="str">
        <x:v>Digital market or business platform for cooperative products</x:v>
      </x:c>
      <x:c r="L81" s="26" t="str">
        <x:v>Web platform</x:v>
      </x:c>
      <x:c r="M81" s="26" t="str">
        <x:v>Cooperatives, members and buyers</x:v>
      </x:c>
      <x:c r="N81" s="30" t="str">
        <x:v>Indirect</x:v>
      </x:c>
      <x:c r="O81" s="30" t="str">
        <x:v>Indirect</x:v>
      </x:c>
      <x:c r="P81" s="30" t="str">
        <x:v>No</x:v>
      </x:c>
      <x:c r="Q81" s="26" t="str">
        <x:v>Operational / legacy listing</x:v>
      </x:c>
      <x:c r="R81" s="26" t="str">
        <x:v>Status unverified</x:v>
      </x:c>
      <x:c r="S81" s="26" t="str">
        <x:v>Included in the PIDS 2023 e-commerce inventory</x:v>
      </x:c>
      <x:c r="T81" s="26" t="str">
        <x:v>Institutional cooperative network</x:v>
      </x:c>
      <x:c r="U81" s="26" t="str">
        <x:v>Platform continuity, inventory, logistics and digital readiness</x:v>
      </x:c>
      <x:c r="V81" s="26" t="str">
        <x:v>Potential linkage to cooperative registries; APIs are not public</x:v>
      </x:c>
      <x:c r="W81" s="26" t="str">
        <x:v>Cooperative marketplace referral</x:v>
      </x:c>
      <x:c r="X81" s="30" t="str">
        <x:v>Medium</x:v>
      </x:c>
      <x:c r="Y81" s="26" t="str">
        <x:v>Verify active services and connect qualified agri-coops through official registries</x:v>
      </x:c>
      <x:c r="Z81" s="32" t="str">
        <x:v>https://pidswebs.pids.gov.ph/CDN/document/pidsdps2329.pdf</x:v>
      </x:c>
      <x:c r="AA81" s="32" t="str">
        <x:v>https://cda.gov.ph/</x:v>
      </x:c>
      <x:c r="AB81" s="30" t="str">
        <x:v>2026-07-11</x:v>
      </x:c>
      <x:c r="AC81" s="30" t="str">
        <x:v>Low</x:v>
      </x:c>
      <x:c r="AD81" s="26"/>
      <x:c r="AE81" s="26" t="str"/>
      <x:c r="AF81" s="26" t="str">
        <x:v>Markets, e-commerce &amp; logistics</x:v>
      </x:c>
      <x:c r="AG81" s="26" t="str">
        <x:v>Cross-sector</x:v>
      </x:c>
      <x:c r="AH81" s="26" t="str">
        <x:v>Logistics &amp; distribution; Markets &amp; trade</x:v>
      </x:c>
      <x:c r="AI81" s="26" t="str">
        <x:v>Web / portal</x:v>
      </x:c>
      <x:c r="AJ81" s="30" t="n">
        <x:f>IF(AF81="","",LEN(AF81)-LEN(SUBSTITUTE(AF81,";",""))+1)</x:f>
        <x:v>1</x:v>
      </x:c>
      <x:c r="AK81" s="26" t="str">
        <x:v>Not dedicated</x:v>
      </x:c>
    </x:row>
    <x:row r="82" ht="56" customHeight="1">
      <x:c r="A82" s="26" t="str">
        <x:v>D2-078</x:v>
      </x:c>
      <x:c r="B82" s="26" t="str">
        <x:v>OneSTore.ph</x:v>
      </x:c>
      <x:c r="C82" s="26" t="str">
        <x:v>OneSTore</x:v>
      </x:c>
      <x:c r="D82" s="26" t="str">
        <x:v>Department of Science and Technology</x:v>
      </x:c>
      <x:c r="E82" s="26" t="str">
        <x:v>National government / R&amp;D support</x:v>
      </x:c>
      <x:c r="F82" s="26" t="str">
        <x:v>MSME products including agri-food</x:v>
      </x:c>
      <x:c r="G82" s="26" t="str">
        <x:v>National</x:v>
      </x:c>
      <x:c r="H82" s="26" t="str">
        <x:v>Market and enterprise</x:v>
      </x:c>
      <x:c r="I82" s="26" t="str">
        <x:v>E-commerce</x:v>
      </x:c>
      <x:c r="J82" s="26" t="str">
        <x:v>Markets, e-commerce &amp; logistics</x:v>
      </x:c>
      <x:c r="K82" s="26" t="str">
        <x:v>Government-supported e-commerce for DOST-assisted MSMEs</x:v>
      </x:c>
      <x:c r="L82" s="26" t="str">
        <x:v>Web e-commerce platform</x:v>
      </x:c>
      <x:c r="M82" s="26" t="str">
        <x:v>MSMEs, producers and consumers</x:v>
      </x:c>
      <x:c r="N82" s="30" t="str">
        <x:v>Indirect</x:v>
      </x:c>
      <x:c r="O82" s="30" t="str">
        <x:v>Indirect</x:v>
      </x:c>
      <x:c r="P82" s="30" t="str">
        <x:v>No</x:v>
      </x:c>
      <x:c r="Q82" s="26" t="str">
        <x:v>Institutionalized</x:v>
      </x:c>
      <x:c r="R82" s="26" t="str">
        <x:v>Active / operational</x:v>
      </x:c>
      <x:c r="S82" s="26" t="str">
        <x:v>National DOST platform included in the PIDS inventory</x:v>
      </x:c>
      <x:c r="T82" s="26" t="str">
        <x:v>Government MSME and product-development network</x:v>
      </x:c>
      <x:c r="U82" s="26" t="str">
        <x:v>Traffic, logistics, inventory, product quality and sustainable operations</x:v>
      </x:c>
      <x:c r="V82" s="26" t="str">
        <x:v>Enterprise and transaction data require standard commerce safeguards</x:v>
      </x:c>
      <x:c r="W82" s="26" t="str">
        <x:v>MSME product-market connector</x:v>
      </x:c>
      <x:c r="X82" s="30" t="str">
        <x:v>Medium</x:v>
      </x:c>
      <x:c r="Y82" s="26" t="str">
        <x:v>Federate agriculture-related products and verified enterprise credentials</x:v>
      </x:c>
      <x:c r="Z82" s="32" t="str">
        <x:v>https://onestore.ph/</x:v>
      </x:c>
      <x:c r="AA82" s="32" t="str">
        <x:v>https://pidswebs.pids.gov.ph/CDN/document/pidsdps2329.pdf</x:v>
      </x:c>
      <x:c r="AB82" s="30" t="str">
        <x:v>2026-07-11</x:v>
      </x:c>
      <x:c r="AC82" s="30" t="str">
        <x:v>High</x:v>
      </x:c>
      <x:c r="AD82" s="26"/>
      <x:c r="AE82" s="26" t="str"/>
      <x:c r="AF82" s="26" t="str">
        <x:v>Markets, e-commerce &amp; logistics</x:v>
      </x:c>
      <x:c r="AG82" s="26" t="str">
        <x:v>Cross-sector</x:v>
      </x:c>
      <x:c r="AH82" s="26" t="str">
        <x:v>Logistics &amp; distribution; Markets &amp; trade</x:v>
      </x:c>
      <x:c r="AI82" s="26" t="str">
        <x:v>Web / portal</x:v>
      </x:c>
      <x:c r="AJ82" s="30" t="n">
        <x:f>IF(AF82="","",LEN(AF82)-LEN(SUBSTITUTE(AF82,";",""))+1)</x:f>
        <x:v>1</x:v>
      </x:c>
      <x:c r="AK82" s="26" t="str">
        <x:v>Not dedicated</x:v>
      </x:c>
    </x:row>
    <x:row r="83" ht="56" customHeight="1">
      <x:c r="A83" s="26" t="str">
        <x:v>D2-079</x:v>
      </x:c>
      <x:c r="B83" s="26" t="str">
        <x:v>Pili Marketplace</x:v>
      </x:c>
      <x:c r="C83" s="26" t="str">
        <x:v>Pili Marketplace</x:v>
      </x:c>
      <x:c r="D83" s="26" t="str">
        <x:v>Private / local platform reported in PIDS</x:v>
      </x:c>
      <x:c r="E83" s="26" t="str">
        <x:v>Private / local platform</x:v>
      </x:c>
      <x:c r="F83" s="26" t="str">
        <x:v>Pili and local products</x:v>
      </x:c>
      <x:c r="G83" s="26" t="str">
        <x:v>Bicol / Philippines</x:v>
      </x:c>
      <x:c r="H83" s="26" t="str">
        <x:v>Market and enterprise</x:v>
      </x:c>
      <x:c r="I83" s="26" t="str">
        <x:v>E-commerce</x:v>
      </x:c>
      <x:c r="J83" s="26" t="str">
        <x:v>Markets, e-commerce &amp; logistics</x:v>
      </x:c>
      <x:c r="K83" s="26" t="str">
        <x:v>Online marketplace for pili and related local products</x:v>
      </x:c>
      <x:c r="L83" s="26" t="str">
        <x:v>Web/social commerce</x:v>
      </x:c>
      <x:c r="M83" s="26" t="str">
        <x:v>Producers, processors and consumers</x:v>
      </x:c>
      <x:c r="N83" s="30" t="str">
        <x:v>Indirect</x:v>
      </x:c>
      <x:c r="O83" s="30" t="str">
        <x:v>Indirect</x:v>
      </x:c>
      <x:c r="P83" s="30" t="str">
        <x:v>No</x:v>
      </x:c>
      <x:c r="Q83" s="26" t="str">
        <x:v>Commercial / local</x:v>
      </x:c>
      <x:c r="R83" s="26" t="str">
        <x:v>Status unverified</x:v>
      </x:c>
      <x:c r="S83" s="26" t="str">
        <x:v>Included in the PIDS 2023 e-commerce list</x:v>
      </x:c>
      <x:c r="T83" s="26" t="str">
        <x:v>Commodity and regional specialization</x:v>
      </x:c>
      <x:c r="U83" s="26" t="str">
        <x:v>Current status, logistics, supply, quality and producer value distribution</x:v>
      </x:c>
      <x:c r="V83" s="26" t="str">
        <x:v>No public interface or governance evidence located</x:v>
      </x:c>
      <x:c r="W83" s="26" t="str">
        <x:v>Regional commodity marketplace watchlist</x:v>
      </x:c>
      <x:c r="X83" s="30" t="str">
        <x:v>Low</x:v>
      </x:c>
      <x:c r="Y83" s="26" t="str">
        <x:v>Verify active platform and producer participation before integration</x:v>
      </x:c>
      <x:c r="Z83" s="32" t="str">
        <x:v>https://pidswebs.pids.gov.ph/CDN/document/pidsdps2329.pdf</x:v>
      </x:c>
      <x:c r="AA83" s="32"/>
      <x:c r="AB83" s="30" t="str">
        <x:v>2026-07-11</x:v>
      </x:c>
      <x:c r="AC83" s="30" t="str">
        <x:v>Low</x:v>
      </x:c>
      <x:c r="AD83" s="26"/>
      <x:c r="AE83" s="26" t="str"/>
      <x:c r="AF83" s="26" t="str">
        <x:v>Markets, e-commerce &amp; logistics</x:v>
      </x:c>
      <x:c r="AG83" s="26" t="str">
        <x:v>Agriculture — general</x:v>
      </x:c>
      <x:c r="AH83" s="26" t="str">
        <x:v>Logistics &amp; distribution; Markets &amp; trade</x:v>
      </x:c>
      <x:c r="AI83" s="26" t="str">
        <x:v>Web / portal</x:v>
      </x:c>
      <x:c r="AJ83" s="30" t="n">
        <x:f>IF(AF83="","",LEN(AF83)-LEN(SUBSTITUTE(AF83,";",""))+1)</x:f>
        <x:v>1</x:v>
      </x:c>
      <x:c r="AK83" s="26" t="str">
        <x:v>Not dedicated</x:v>
      </x:c>
    </x:row>
    <x:row r="84" ht="56" customHeight="1">
      <x:c r="A84" s="26" t="str">
        <x:v>D2-080</x:v>
      </x:c>
      <x:c r="B84" s="26" t="str">
        <x:v>Rural Rising Philippines Digital Market Channels</x:v>
      </x:c>
      <x:c r="C84" s="26" t="str">
        <x:v>Rural Rising PH</x:v>
      </x:c>
      <x:c r="D84" s="26" t="str">
        <x:v>Rural Rising Philippines</x:v>
      </x:c>
      <x:c r="E84" s="26" t="str">
        <x:v>NGO / social enterprise</x:v>
      </x:c>
      <x:c r="F84" s="26" t="str">
        <x:v>Multiple crops and food rescue</x:v>
      </x:c>
      <x:c r="G84" s="26" t="str">
        <x:v>National / multi-region sourcing</x:v>
      </x:c>
      <x:c r="H84" s="26" t="str">
        <x:v>Market linkage and food-loss reduction</x:v>
      </x:c>
      <x:c r="I84" s="26" t="str">
        <x:v>E-commerce</x:v>
      </x:c>
      <x:c r="J84" s="26" t="str">
        <x:v>Markets, e-commerce &amp; logistics</x:v>
      </x:c>
      <x:c r="K84" s="26" t="str">
        <x:v>Uses online campaigns and ordering to mobilize demand for surplus or distressed produce</x:v>
      </x:c>
      <x:c r="L84" s="26" t="str">
        <x:v>Social media, web ordering and community logistics</x:v>
      </x:c>
      <x:c r="M84" s="26" t="str">
        <x:v>Farmers, consumers and institutions</x:v>
      </x:c>
      <x:c r="N84" s="30" t="str">
        <x:v>Indirect</x:v>
      </x:c>
      <x:c r="O84" s="30" t="str">
        <x:v>Yes</x:v>
      </x:c>
      <x:c r="P84" s="30" t="str">
        <x:v>Indirect</x:v>
      </x:c>
      <x:c r="Q84" s="26" t="str">
        <x:v>Operational / scaling</x:v>
      </x:c>
      <x:c r="R84" s="26" t="str">
        <x:v>Active / operational</x:v>
      </x:c>
      <x:c r="S84" s="26" t="str">
        <x:v>Ongoing public campaigns and community operations</x:v>
      </x:c>
      <x:c r="T84" s="26" t="str">
        <x:v>Strong social engagement and rapid demand mobilization</x:v>
      </x:c>
      <x:c r="U84" s="26" t="str">
        <x:v>Predictability, logistics, quality and dependence on campaigns</x:v>
      </x:c>
      <x:c r="V84" s="26" t="str">
        <x:v>Farmer, buyer and transaction data need consent and safeguarding</x:v>
      </x:c>
      <x:c r="W84" s="26" t="str">
        <x:v>Emergency market and surplus referral</x:v>
      </x:c>
      <x:c r="X84" s="30" t="str">
        <x:v>Medium</x:v>
      </x:c>
      <x:c r="Y84" s="26" t="str">
        <x:v>Use for distress-sale alerts while building longer-term demand channels</x:v>
      </x:c>
      <x:c r="Z84" s="32" t="str">
        <x:v>https://ruralrisingph.com/</x:v>
      </x:c>
      <x:c r="AA84" s="32" t="str">
        <x:v>https://pidswebs.pids.gov.ph/CDN/document/pidsdps2329.pdf</x:v>
      </x:c>
      <x:c r="AB84" s="30" t="str">
        <x:v>2026-07-11</x:v>
      </x:c>
      <x:c r="AC84" s="30" t="str">
        <x:v>High</x:v>
      </x:c>
      <x:c r="AD84" s="26"/>
      <x:c r="AE84" s="26" t="str"/>
      <x:c r="AF84" s="26" t="str">
        <x:v>Markets, e-commerce &amp; logistics</x:v>
      </x:c>
      <x:c r="AG84" s="26" t="str">
        <x:v>Cross-sector</x:v>
      </x:c>
      <x:c r="AH84" s="26" t="str">
        <x:v>Logistics &amp; distribution; Markets &amp; trade</x:v>
      </x:c>
      <x:c r="AI84" s="26" t="str">
        <x:v>Web / portal</x:v>
      </x:c>
      <x:c r="AJ84" s="30" t="n">
        <x:f>IF(AF84="","",LEN(AF84)-LEN(SUBSTITUTE(AF84,";",""))+1)</x:f>
        <x:v>1</x:v>
      </x:c>
      <x:c r="AK84" s="26" t="str">
        <x:v>Not dedicated</x:v>
      </x:c>
    </x:row>
    <x:row r="85" ht="56" customHeight="1">
      <x:c r="A85" s="26" t="str">
        <x:v>D2-081</x:v>
      </x:c>
      <x:c r="B85" s="26" t="str">
        <x:v>Session Groceries</x:v>
      </x:c>
      <x:c r="C85" s="26" t="str">
        <x:v>Session Groceries</x:v>
      </x:c>
      <x:c r="D85" s="26" t="str">
        <x:v>Session Groceries</x:v>
      </x:c>
      <x:c r="E85" s="26" t="str">
        <x:v>Private company / social enterprise</x:v>
      </x:c>
      <x:c r="F85" s="26" t="str">
        <x:v>Fresh produce</x:v>
      </x:c>
      <x:c r="G85" s="26" t="str">
        <x:v>Benguet and urban markets</x:v>
      </x:c>
      <x:c r="H85" s="26" t="str">
        <x:v>Market and delivery</x:v>
      </x:c>
      <x:c r="I85" s="26" t="str">
        <x:v>E-commerce</x:v>
      </x:c>
      <x:c r="J85" s="26" t="str">
        <x:v>Markets, e-commerce &amp; logistics</x:v>
      </x:c>
      <x:c r="K85" s="26" t="str">
        <x:v>Online ordering and delivery of farm produce from partner farmers</x:v>
      </x:c>
      <x:c r="L85" s="26" t="str">
        <x:v>Mobile/web commerce and logistics</x:v>
      </x:c>
      <x:c r="M85" s="26" t="str">
        <x:v>Farmers, consumers and institutions</x:v>
      </x:c>
      <x:c r="N85" s="30" t="str">
        <x:v>Indirect</x:v>
      </x:c>
      <x:c r="O85" s="30" t="str">
        <x:v>Indirect</x:v>
      </x:c>
      <x:c r="P85" s="30" t="str">
        <x:v>Indirect</x:v>
      </x:c>
      <x:c r="Q85" s="26" t="str">
        <x:v>Commercial / social enterprise</x:v>
      </x:c>
      <x:c r="R85" s="26" t="str">
        <x:v>Status unverified</x:v>
      </x:c>
      <x:c r="S85" s="26" t="str">
        <x:v>Included in the PIDS 2023 e-commerce inventory</x:v>
      </x:c>
      <x:c r="T85" s="26" t="str">
        <x:v>Recognizable farm-to-consumer model</x:v>
      </x:c>
      <x:c r="U85" s="26" t="str">
        <x:v>Current operation, cold chain, working capital, demand stability and farmer terms</x:v>
      </x:c>
      <x:c r="V85" s="26" t="str">
        <x:v>Supplier, customer and transaction-data practices require review</x:v>
      </x:c>
      <x:c r="W85" s="26" t="str">
        <x:v>External marketplace watchlist</x:v>
      </x:c>
      <x:c r="X85" s="30" t="str">
        <x:v>Low</x:v>
      </x:c>
      <x:c r="Y85" s="26" t="str">
        <x:v>Verify current operation and service areas before referral</x:v>
      </x:c>
      <x:c r="Z85" s="32" t="str">
        <x:v>https://sessiongroceries.com/</x:v>
      </x:c>
      <x:c r="AA85" s="32" t="str">
        <x:v>https://pidswebs.pids.gov.ph/CDN/document/pidsdps2329.pdf</x:v>
      </x:c>
      <x:c r="AB85" s="30" t="str">
        <x:v>2026-07-11</x:v>
      </x:c>
      <x:c r="AC85" s="30" t="str">
        <x:v>Low</x:v>
      </x:c>
      <x:c r="AD85" s="26"/>
      <x:c r="AE85" s="26" t="str"/>
      <x:c r="AF85" s="26" t="str">
        <x:v>Markets, e-commerce &amp; logistics</x:v>
      </x:c>
      <x:c r="AG85" s="26" t="str">
        <x:v>Agriculture — general</x:v>
      </x:c>
      <x:c r="AH85" s="26" t="str">
        <x:v>Logistics &amp; distribution; Markets &amp; trade</x:v>
      </x:c>
      <x:c r="AI85" s="26" t="str">
        <x:v>Web / portal; Mobile / Android</x:v>
      </x:c>
      <x:c r="AJ85" s="30" t="n">
        <x:f>IF(AF85="","",LEN(AF85)-LEN(SUBSTITUTE(AF85,";",""))+1)</x:f>
        <x:v>1</x:v>
      </x:c>
      <x:c r="AK85" s="26" t="str">
        <x:v>Not dedicated</x:v>
      </x:c>
    </x:row>
    <x:row r="86" ht="56" customHeight="1">
      <x:c r="A86" s="26" t="str">
        <x:v>D2-082</x:v>
      </x:c>
      <x:c r="B86" s="26" t="str">
        <x:v>Zagana</x:v>
      </x:c>
      <x:c r="C86" s="26" t="str">
        <x:v>Zagana</x:v>
      </x:c>
      <x:c r="D86" s="26" t="str">
        <x:v>Zagana</x:v>
      </x:c>
      <x:c r="E86" s="26" t="str">
        <x:v>Private company</x:v>
      </x:c>
      <x:c r="F86" s="26" t="str">
        <x:v>Fresh produce and food</x:v>
      </x:c>
      <x:c r="G86" s="26" t="str">
        <x:v>Philippines</x:v>
      </x:c>
      <x:c r="H86" s="26" t="str">
        <x:v>Market and delivery</x:v>
      </x:c>
      <x:c r="I86" s="26" t="str">
        <x:v>E-commerce</x:v>
      </x:c>
      <x:c r="J86" s="26" t="str">
        <x:v>Markets, e-commerce &amp; logistics</x:v>
      </x:c>
      <x:c r="K86" s="26" t="str">
        <x:v>Online grocery and produce marketplace with farm sourcing</x:v>
      </x:c>
      <x:c r="L86" s="26" t="str">
        <x:v>Web/mobile e-commerce and logistics</x:v>
      </x:c>
      <x:c r="M86" s="26" t="str">
        <x:v>Consumers, farms and suppliers</x:v>
      </x:c>
      <x:c r="N86" s="30" t="str">
        <x:v>Indirect</x:v>
      </x:c>
      <x:c r="O86" s="30" t="str">
        <x:v>Indirect</x:v>
      </x:c>
      <x:c r="P86" s="30" t="str">
        <x:v>No</x:v>
      </x:c>
      <x:c r="Q86" s="26" t="str">
        <x:v>Commercial</x:v>
      </x:c>
      <x:c r="R86" s="26" t="str">
        <x:v>Active / status partly verified</x:v>
      </x:c>
      <x:c r="S86" s="26" t="str">
        <x:v>Included in PIDS inventory; public digital presence exists</x:v>
      </x:c>
      <x:c r="T86" s="26" t="str">
        <x:v>Consumer-facing digital commerce and logistics</x:v>
      </x:c>
      <x:c r="U86" s="26" t="str">
        <x:v>Farmer value share, competition, perishability and logistics cost</x:v>
      </x:c>
      <x:c r="V86" s="26" t="str">
        <x:v>Commercial and personal transaction data are platform-controlled</x:v>
      </x:c>
      <x:c r="W86" s="26" t="str">
        <x:v>External marketplace and buyer connector</x:v>
      </x:c>
      <x:c r="X86" s="30" t="str">
        <x:v>Low</x:v>
      </x:c>
      <x:c r="Y86" s="26" t="str">
        <x:v>Use only for verified sourcing/referral arrangements and transparent farmer terms</x:v>
      </x:c>
      <x:c r="Z86" s="32" t="str">
        <x:v>https://zaganafarm.com/</x:v>
      </x:c>
      <x:c r="AA86" s="32" t="str">
        <x:v>https://pidswebs.pids.gov.ph/CDN/document/pidsdps2329.pdf</x:v>
      </x:c>
      <x:c r="AB86" s="30" t="str">
        <x:v>2026-07-11</x:v>
      </x:c>
      <x:c r="AC86" s="30" t="str">
        <x:v>Medium</x:v>
      </x:c>
      <x:c r="AD86" s="26"/>
      <x:c r="AE86" s="26" t="str"/>
      <x:c r="AF86" s="26" t="str">
        <x:v>Markets, e-commerce &amp; logistics</x:v>
      </x:c>
      <x:c r="AG86" s="26" t="str">
        <x:v>Agriculture — general</x:v>
      </x:c>
      <x:c r="AH86" s="26" t="str">
        <x:v>Logistics &amp; distribution; Markets &amp; trade</x:v>
      </x:c>
      <x:c r="AI86" s="26" t="str">
        <x:v>Web / portal; Mobile / Android</x:v>
      </x:c>
      <x:c r="AJ86" s="30" t="n">
        <x:f>IF(AF86="","",LEN(AF86)-LEN(SUBSTITUTE(AF86,";",""))+1)</x:f>
        <x:v>1</x:v>
      </x:c>
      <x:c r="AK86" s="26" t="str">
        <x:v>Not dedicated</x:v>
      </x:c>
    </x:row>
    <x:row r="87" ht="56" customHeight="1">
      <x:c r="A87" s="26" t="str">
        <x:v>D2-083</x:v>
      </x:c>
      <x:c r="B87" s="26" t="str">
        <x:v>Livegreen International</x:v>
      </x:c>
      <x:c r="C87" s="26" t="str">
        <x:v>Livegreen</x:v>
      </x:c>
      <x:c r="D87" s="26" t="str">
        <x:v>Livegreen International</x:v>
      </x:c>
      <x:c r="E87" s="26" t="str">
        <x:v>Private company</x:v>
      </x:c>
      <x:c r="F87" s="26" t="str">
        <x:v>Organic and sustainable products</x:v>
      </x:c>
      <x:c r="G87" s="26" t="str">
        <x:v>Philippines</x:v>
      </x:c>
      <x:c r="H87" s="26" t="str">
        <x:v>Market and retail</x:v>
      </x:c>
      <x:c r="I87" s="26" t="str">
        <x:v>E-commerce</x:v>
      </x:c>
      <x:c r="J87" s="26" t="str">
        <x:v>Markets, e-commerce &amp; logistics</x:v>
      </x:c>
      <x:c r="K87" s="26" t="str">
        <x:v>Online marketplace for organic and sustainable products</x:v>
      </x:c>
      <x:c r="L87" s="26" t="str">
        <x:v>Web e-commerce</x:v>
      </x:c>
      <x:c r="M87" s="26" t="str">
        <x:v>Consumers and organic producers</x:v>
      </x:c>
      <x:c r="N87" s="30" t="str">
        <x:v>Indirect</x:v>
      </x:c>
      <x:c r="O87" s="30" t="str">
        <x:v>Indirect</x:v>
      </x:c>
      <x:c r="P87" s="30" t="str">
        <x:v>Indirect</x:v>
      </x:c>
      <x:c r="Q87" s="26" t="str">
        <x:v>Commercial / niche</x:v>
      </x:c>
      <x:c r="R87" s="26" t="str">
        <x:v>Status unverified</x:v>
      </x:c>
      <x:c r="S87" s="26" t="str">
        <x:v>Included in the PIDS 2023 e-commerce list</x:v>
      </x:c>
      <x:c r="T87" s="26" t="str">
        <x:v>Sustainability-oriented niche demand</x:v>
      </x:c>
      <x:c r="U87" s="26" t="str">
        <x:v>Current status, certification trust, supply consistency and scale</x:v>
      </x:c>
      <x:c r="V87" s="26" t="str">
        <x:v>Supplier and transaction-data policies require verification</x:v>
      </x:c>
      <x:c r="W87" s="26" t="str">
        <x:v>Specialty market watchlist</x:v>
      </x:c>
      <x:c r="X87" s="30" t="str">
        <x:v>Low</x:v>
      </x:c>
      <x:c r="Y87" s="26" t="str">
        <x:v>Verify operation and certification/traceability practices</x:v>
      </x:c>
      <x:c r="Z87" s="32" t="str">
        <x:v>https://pidswebs.pids.gov.ph/CDN/document/pidsdps2329.pdf</x:v>
      </x:c>
      <x:c r="AA87" s="32"/>
      <x:c r="AB87" s="30" t="str">
        <x:v>2026-07-11</x:v>
      </x:c>
      <x:c r="AC87" s="30" t="str">
        <x:v>Low</x:v>
      </x:c>
      <x:c r="AD87" s="26"/>
      <x:c r="AE87" s="26" t="str"/>
      <x:c r="AF87" s="26" t="str">
        <x:v>Markets, e-commerce &amp; logistics</x:v>
      </x:c>
      <x:c r="AG87" s="26" t="str">
        <x:v>Agriculture — general</x:v>
      </x:c>
      <x:c r="AH87" s="26" t="str">
        <x:v>Logistics &amp; distribution; Markets &amp; trade</x:v>
      </x:c>
      <x:c r="AI87" s="26" t="str">
        <x:v>Web / portal</x:v>
      </x:c>
      <x:c r="AJ87" s="30" t="n">
        <x:f>IF(AF87="","",LEN(AF87)-LEN(SUBSTITUTE(AF87,";",""))+1)</x:f>
        <x:v>1</x:v>
      </x:c>
      <x:c r="AK87" s="26" t="str">
        <x:v>Not dedicated</x:v>
      </x:c>
    </x:row>
    <x:row r="88" ht="56" customHeight="1">
      <x:c r="A88" s="26" t="str">
        <x:v>D2-084</x:v>
      </x:c>
      <x:c r="B88" s="26" t="str">
        <x:v>Ani Farm Marketplace</x:v>
      </x:c>
      <x:c r="C88" s="26" t="str">
        <x:v>Ani</x:v>
      </x:c>
      <x:c r="D88" s="26" t="str">
        <x:v>Coding Canary / private startup</x:v>
      </x:c>
      <x:c r="E88" s="26" t="str">
        <x:v>Private company</x:v>
      </x:c>
      <x:c r="F88" s="26" t="str">
        <x:v>Agricultural produce and logistics</x:v>
      </x:c>
      <x:c r="G88" s="26" t="str">
        <x:v>Philippines</x:v>
      </x:c>
      <x:c r="H88" s="26" t="str">
        <x:v>Market and logistics</x:v>
      </x:c>
      <x:c r="I88" s="26" t="str">
        <x:v>E-commerce</x:v>
      </x:c>
      <x:c r="J88" s="26" t="str">
        <x:v>Markets, e-commerce &amp; logistics</x:v>
      </x:c>
      <x:c r="K88" s="26" t="str">
        <x:v>Connects farmers, buyers and logistics providers</x:v>
      </x:c>
      <x:c r="L88" s="26" t="str">
        <x:v>Android mobile app</x:v>
      </x:c>
      <x:c r="M88" s="26" t="str">
        <x:v>Farmers, buyers and logistics providers</x:v>
      </x:c>
      <x:c r="N88" s="30" t="str">
        <x:v>Indirect</x:v>
      </x:c>
      <x:c r="O88" s="30" t="str">
        <x:v>Indirect</x:v>
      </x:c>
      <x:c r="P88" s="30" t="str">
        <x:v>No</x:v>
      </x:c>
      <x:c r="Q88" s="26" t="str">
        <x:v>Early commercial / pilot</x:v>
      </x:c>
      <x:c r="R88" s="26" t="str">
        <x:v>Active / operational</x:v>
      </x:c>
      <x:c r="S88" s="26" t="str">
        <x:v>Google Play listing updated April 2025; low download count</x:v>
      </x:c>
      <x:c r="T88" s="26" t="str">
        <x:v>Clear three-sided market concept</x:v>
      </x:c>
      <x:c r="U88" s="26" t="str">
        <x:v>Network effects, trust, verification, logistics density and early scale</x:v>
      </x:c>
      <x:c r="V88" s="26" t="str">
        <x:v>Identity, location, order and payment data need safeguards</x:v>
      </x:c>
      <x:c r="W88" s="26" t="str">
        <x:v>Emerging marketplace and pilot connector</x:v>
      </x:c>
      <x:c r="X88" s="30" t="str">
        <x:v>Low</x:v>
      </x:c>
      <x:c r="Y88" s="26" t="str">
        <x:v>Monitor traction and require verified profiles, transparent fees and portable records</x:v>
      </x:c>
      <x:c r="Z88" s="32" t="str">
        <x:v>https://play.google.com/store/apps/details?id=com.codingcanary.farmz</x:v>
      </x:c>
      <x:c r="AA88" s="32"/>
      <x:c r="AB88" s="30" t="str">
        <x:v>2026-07-11</x:v>
      </x:c>
      <x:c r="AC88" s="30" t="str">
        <x:v>High</x:v>
      </x:c>
      <x:c r="AD88" s="26"/>
      <x:c r="AE88" s="26" t="str"/>
      <x:c r="AF88" s="26" t="str">
        <x:v>Markets, e-commerce &amp; logistics</x:v>
      </x:c>
      <x:c r="AG88" s="26" t="str">
        <x:v>Agriculture — general</x:v>
      </x:c>
      <x:c r="AH88" s="26" t="str">
        <x:v>Logistics &amp; distribution; Markets &amp; trade</x:v>
      </x:c>
      <x:c r="AI88" s="26" t="str">
        <x:v>Mobile / Android</x:v>
      </x:c>
      <x:c r="AJ88" s="30" t="n">
        <x:f>IF(AF88="","",LEN(AF88)-LEN(SUBSTITUTE(AF88,";",""))+1)</x:f>
        <x:v>1</x:v>
      </x:c>
      <x:c r="AK88" s="26" t="str">
        <x:v>Not dedicated</x:v>
      </x:c>
    </x:row>
    <x:row r="89" ht="56" customHeight="1">
      <x:c r="A89" s="26" t="str">
        <x:v>D2-085</x:v>
      </x:c>
      <x:c r="B89" s="26" t="str">
        <x:v>Agriculturist PH / Tagani</x:v>
      </x:c>
      <x:c r="C89" s="26" t="str">
        <x:v>Agriculturist PH / Tagani</x:v>
      </x:c>
      <x:c r="D89" s="26" t="str">
        <x:v>Tagani Inc. / Agriculturist PH</x:v>
      </x:c>
      <x:c r="E89" s="26" t="str">
        <x:v>Private startup</x:v>
      </x:c>
      <x:c r="F89" s="26" t="str">
        <x:v>Cross-sector</x:v>
      </x:c>
      <x:c r="G89" s="26" t="str">
        <x:v>Philippines</x:v>
      </x:c>
      <x:c r="H89" s="26" t="str">
        <x:v>Knowledge, farm services and agribusiness</x:v>
      </x:c>
      <x:c r="I89" s="26" t="str">
        <x:v>Information and advisory services</x:v>
      </x:c>
      <x:c r="J89" s="26" t="str">
        <x:v>Advisory &amp; e-extension</x:v>
      </x:c>
      <x:c r="K89" s="26" t="str">
        <x:v>Digital agriculture education, agribusiness content and historically farm-service tools</x:v>
      </x:c>
      <x:c r="L89" s="26" t="str">
        <x:v>Web and social-media channels</x:v>
      </x:c>
      <x:c r="M89" s="26" t="str">
        <x:v>Farmers, students and agripreneurs</x:v>
      </x:c>
      <x:c r="N89" s="30" t="str">
        <x:v>Indirect</x:v>
      </x:c>
      <x:c r="O89" s="30" t="str">
        <x:v>Indirect</x:v>
      </x:c>
      <x:c r="P89" s="30" t="str">
        <x:v>Indirect</x:v>
      </x:c>
      <x:c r="Q89" s="26" t="str">
        <x:v>Commercial / evolved platform</x:v>
      </x:c>
      <x:c r="R89" s="26" t="str">
        <x:v>Active / status partly verified</x:v>
      </x:c>
      <x:c r="S89" s="26" t="str">
        <x:v>Current education presence; product scope has changed over time</x:v>
      </x:c>
      <x:c r="T89" s="26" t="str">
        <x:v>Audience reach and local agritech communication</x:v>
      </x:c>
      <x:c r="U89" s="26" t="str">
        <x:v>Service continuity, product boundaries and farm-outcome evidence</x:v>
      </x:c>
      <x:c r="V89" s="26" t="str">
        <x:v>Audience data are governed by channel platforms; APIs are not public</x:v>
      </x:c>
      <x:c r="W89" s="26" t="str">
        <x:v>Knowledge and outreach partner</x:v>
      </x:c>
      <x:c r="X89" s="30" t="str">
        <x:v>Medium</x:v>
      </x:c>
      <x:c r="Y89" s="26" t="str">
        <x:v>Catalog current services separately and use as an outreach/content partner</x:v>
      </x:c>
      <x:c r="Z89" s="32" t="str">
        <x:v>https://agriculturistph.com/</x:v>
      </x:c>
      <x:c r="AA89" s="32" t="str">
        <x:v>https://www.irri.org/news-and-events/news/philippines-stakeholders-are-charting-future-digital-agriculture</x:v>
      </x:c>
      <x:c r="AB89" s="30" t="str">
        <x:v>2026-07-11</x:v>
      </x:c>
      <x:c r="AC89" s="30" t="str">
        <x:v>Medium</x:v>
      </x:c>
      <x:c r="AD89" s="26"/>
      <x:c r="AE89" s="26" t="str"/>
      <x:c r="AF89" s="26" t="str">
        <x:v>Advisory &amp; e-extension</x:v>
      </x:c>
      <x:c r="AG89" s="26" t="str">
        <x:v>Cross-sector</x:v>
      </x:c>
      <x:c r="AH89" s="26" t="str">
        <x:v>Extension, training &amp; support</x:v>
      </x:c>
      <x:c r="AI89" s="26" t="str">
        <x:v>Web / portal</x:v>
      </x:c>
      <x:c r="AJ89" s="30" t="n">
        <x:f>IF(AF89="","",LEN(AF89)-LEN(SUBSTITUTE(AF89,";",""))+1)</x:f>
        <x:v>1</x:v>
      </x:c>
      <x:c r="AK89" s="26" t="str">
        <x:v>Not dedicated</x:v>
      </x:c>
    </x:row>
    <x:row r="90" ht="56" customHeight="1">
      <x:c r="A90" s="26" t="str">
        <x:v>D2-086</x:v>
      </x:c>
      <x:c r="B90" s="26" t="str">
        <x:v>Krops</x:v>
      </x:c>
      <x:c r="C90" s="26" t="str">
        <x:v>Krops</x:v>
      </x:c>
      <x:c r="D90" s="26" t="str">
        <x:v>Private startup</x:v>
      </x:c>
      <x:c r="E90" s="26" t="str">
        <x:v>Private company</x:v>
      </x:c>
      <x:c r="F90" s="26" t="str">
        <x:v>Agriculture and market services</x:v>
      </x:c>
      <x:c r="G90" s="26" t="str">
        <x:v>Philippines</x:v>
      </x:c>
      <x:c r="H90" s="26" t="str">
        <x:v>Market and farm services</x:v>
      </x:c>
      <x:c r="I90" s="26" t="str">
        <x:v>E-commerce</x:v>
      </x:c>
      <x:c r="J90" s="26" t="str">
        <x:v>Markets, e-commerce &amp; logistics</x:v>
      </x:c>
      <x:c r="K90" s="26" t="str">
        <x:v>Agriculture-focused platform reported in sector listings</x:v>
      </x:c>
      <x:c r="L90" s="26" t="str">
        <x:v>Digital platform</x:v>
      </x:c>
      <x:c r="M90" s="26" t="str">
        <x:v>Farmers, buyers and agribusinesses</x:v>
      </x:c>
      <x:c r="N90" s="30" t="str">
        <x:v>Indirect</x:v>
      </x:c>
      <x:c r="O90" s="30" t="str">
        <x:v>Indirect</x:v>
      </x:c>
      <x:c r="P90" s="30" t="str">
        <x:v>Indirect</x:v>
      </x:c>
      <x:c r="Q90" s="26" t="str">
        <x:v>Early-stage / unknown</x:v>
      </x:c>
      <x:c r="R90" s="26" t="str">
        <x:v>Status unverified</x:v>
      </x:c>
      <x:c r="S90" s="26" t="str">
        <x:v>Appears in recent Philippine agritech market landscape listings</x:v>
      </x:c>
      <x:c r="T90" s="26" t="str">
        <x:v>Agriculture-specific positioning</x:v>
      </x:c>
      <x:c r="U90" s="26" t="str">
        <x:v>Insufficient authoritative evidence on product, users, model and outcomes</x:v>
      </x:c>
      <x:c r="V90" s="26" t="str">
        <x:v>Interoperability and data governance are unknown</x:v>
      </x:c>
      <x:c r="W90" s="26" t="str">
        <x:v>Developer-outreach watchlist</x:v>
      </x:c>
      <x:c r="X90" s="30" t="str">
        <x:v>Low</x:v>
      </x:c>
      <x:c r="Y90" s="26" t="str">
        <x:v>Require direct developer submission and evidence before endorsement</x:v>
      </x:c>
      <x:c r="Z90" s="32" t="str">
        <x:v>https://www.kenresearch.com/philippines-digital-agriculture-marketplaces-market</x:v>
      </x:c>
      <x:c r="AA90" s="32"/>
      <x:c r="AB90" s="30" t="str">
        <x:v>2026-07-11</x:v>
      </x:c>
      <x:c r="AC90" s="30" t="str">
        <x:v>Low</x:v>
      </x:c>
      <x:c r="AD90" s="26" t="str">
        <x:v>Discovery lead only.</x:v>
      </x:c>
      <x:c r="AE90" s="26" t="str"/>
      <x:c r="AF90" s="26" t="str">
        <x:v>Markets, e-commerce &amp; logistics</x:v>
      </x:c>
      <x:c r="AG90" s="26" t="str">
        <x:v>Agriculture — general</x:v>
      </x:c>
      <x:c r="AH90" s="26" t="str">
        <x:v>Logistics &amp; distribution; Markets &amp; trade</x:v>
      </x:c>
      <x:c r="AI90" s="26" t="str">
        <x:v>Digital service — unspecified stack</x:v>
      </x:c>
      <x:c r="AJ90" s="30" t="n">
        <x:f>IF(AF90="","",LEN(AF90)-LEN(SUBSTITUTE(AF90,";",""))+1)</x:f>
        <x:v>1</x:v>
      </x:c>
      <x:c r="AK90" s="26" t="str">
        <x:v>Not dedicated</x:v>
      </x:c>
    </x:row>
    <x:row r="91" ht="56" customHeight="1">
      <x:c r="A91" s="26" t="str">
        <x:v>D2-087</x:v>
      </x:c>
      <x:c r="B91" s="26" t="str">
        <x:v>e-Magsasaka</x:v>
      </x:c>
      <x:c r="C91" s="26" t="str">
        <x:v>e-Magsasaka</x:v>
      </x:c>
      <x:c r="D91" s="26" t="str">
        <x:v>Private / community initiative</x:v>
      </x:c>
      <x:c r="E91" s="26" t="str">
        <x:v>Private / social enterprise</x:v>
      </x:c>
      <x:c r="F91" s="26" t="str">
        <x:v>Agriculture</x:v>
      </x:c>
      <x:c r="G91" s="26" t="str">
        <x:v>Philippines</x:v>
      </x:c>
      <x:c r="H91" s="26" t="str">
        <x:v>Market and advisory</x:v>
      </x:c>
      <x:c r="I91" s="26" t="str">
        <x:v>E-commerce</x:v>
      </x:c>
      <x:c r="J91" s="26" t="str">
        <x:v>Markets, e-commerce &amp; logistics</x:v>
      </x:c>
      <x:c r="K91" s="26" t="str">
        <x:v>Farmer-market or digital-agriculture platform reported in sector listings</x:v>
      </x:c>
      <x:c r="L91" s="26" t="str">
        <x:v>Digital platform</x:v>
      </x:c>
      <x:c r="M91" s="26" t="str">
        <x:v>Farmers, buyers and stakeholders</x:v>
      </x:c>
      <x:c r="N91" s="30" t="str">
        <x:v>Indirect</x:v>
      </x:c>
      <x:c r="O91" s="30" t="str">
        <x:v>Indirect</x:v>
      </x:c>
      <x:c r="P91" s="30" t="str">
        <x:v>Indirect</x:v>
      </x:c>
      <x:c r="Q91" s="26" t="str">
        <x:v>Unknown</x:v>
      </x:c>
      <x:c r="R91" s="26" t="str">
        <x:v>Status unverified</x:v>
      </x:c>
      <x:c r="S91" s="26" t="str">
        <x:v>Appears in recent Philippine digital-agriculture market listings</x:v>
      </x:c>
      <x:c r="T91" s="26" t="str">
        <x:v>Farmer-centered positioning</x:v>
      </x:c>
      <x:c r="U91" s="26" t="str">
        <x:v>Insufficient authoritative public documentation</x:v>
      </x:c>
      <x:c r="V91" s="26" t="str">
        <x:v>Interoperability and data governance are unknown</x:v>
      </x:c>
      <x:c r="W91" s="26" t="str">
        <x:v>Developer-outreach watchlist</x:v>
      </x:c>
      <x:c r="X91" s="30" t="str">
        <x:v>Low</x:v>
      </x:c>
      <x:c r="Y91" s="26" t="str">
        <x:v>Seek direct validation and an active product URL before public listing</x:v>
      </x:c>
      <x:c r="Z91" s="32" t="str">
        <x:v>https://www.kenresearch.com/philippines-digital-agriculture-marketplaces-market</x:v>
      </x:c>
      <x:c r="AA91" s="32"/>
      <x:c r="AB91" s="30" t="str">
        <x:v>2026-07-11</x:v>
      </x:c>
      <x:c r="AC91" s="30" t="str">
        <x:v>Low</x:v>
      </x:c>
      <x:c r="AD91" s="26" t="str">
        <x:v>Discovery lead only.</x:v>
      </x:c>
      <x:c r="AE91" s="26" t="str">
        <x:v>Advisory &amp; e-extension</x:v>
      </x:c>
      <x:c r="AF91" s="26" t="str">
        <x:v>Advisory &amp; e-extension; Markets, e-commerce &amp; logistics</x:v>
      </x:c>
      <x:c r="AG91" s="26" t="str">
        <x:v>Agriculture — general</x:v>
      </x:c>
      <x:c r="AH91" s="26" t="str">
        <x:v>Logistics &amp; distribution; Markets &amp; trade; Extension, training &amp; support</x:v>
      </x:c>
      <x:c r="AI91" s="26" t="str">
        <x:v>Digital service — unspecified stack</x:v>
      </x:c>
      <x:c r="AJ91" s="30" t="n">
        <x:f>IF(AF91="","",LEN(AF91)-LEN(SUBSTITUTE(AF91,";",""))+1)</x:f>
        <x:v>2</x:v>
      </x:c>
      <x:c r="AK91" s="26" t="str">
        <x:v>Not dedicated</x:v>
      </x:c>
    </x:row>
    <x:row r="92" ht="56" customHeight="1">
      <x:c r="A92" s="26" t="str">
        <x:v>D2-088</x:v>
      </x:c>
      <x:c r="B92" s="26" t="str">
        <x:v>Agrilever</x:v>
      </x:c>
      <x:c r="C92" s="26" t="str">
        <x:v>Agrilever</x:v>
      </x:c>
      <x:c r="D92" s="26" t="str">
        <x:v>Private startup</x:v>
      </x:c>
      <x:c r="E92" s="26" t="str">
        <x:v>Private company</x:v>
      </x:c>
      <x:c r="F92" s="26" t="str">
        <x:v>Agriculture, finance and market services</x:v>
      </x:c>
      <x:c r="G92" s="26" t="str">
        <x:v>Philippines</x:v>
      </x:c>
      <x:c r="H92" s="26" t="str">
        <x:v>Cross-cutting</x:v>
      </x:c>
      <x:c r="I92" s="26" t="str">
        <x:v>Fintech</x:v>
      </x:c>
      <x:c r="J92" s="26" t="str">
        <x:v>Finance, insurance &amp; payments</x:v>
      </x:c>
      <x:c r="K92" s="26" t="str">
        <x:v>Agritech/finance platform reported in the startup landscape</x:v>
      </x:c>
      <x:c r="L92" s="26" t="str">
        <x:v>Digital platform</x:v>
      </x:c>
      <x:c r="M92" s="26" t="str">
        <x:v>Farmers and agribusinesses</x:v>
      </x:c>
      <x:c r="N92" s="30" t="str">
        <x:v>Indirect</x:v>
      </x:c>
      <x:c r="O92" s="30" t="str">
        <x:v>Indirect</x:v>
      </x:c>
      <x:c r="P92" s="30" t="str">
        <x:v>Indirect</x:v>
      </x:c>
      <x:c r="Q92" s="26" t="str">
        <x:v>Unknown</x:v>
      </x:c>
      <x:c r="R92" s="26" t="str">
        <x:v>Status unverified</x:v>
      </x:c>
      <x:c r="S92" s="26" t="str">
        <x:v>Identified in ecosystem references</x:v>
      </x:c>
      <x:c r="T92" s="26" t="str">
        <x:v>Potential integrated farmer finance and services</x:v>
      </x:c>
      <x:c r="U92" s="26" t="str">
        <x:v>Insufficient current evidence, model clarity and outcomes</x:v>
      </x:c>
      <x:c r="V92" s="26" t="str">
        <x:v>Interoperability and data governance are unknown</x:v>
      </x:c>
      <x:c r="W92" s="26" t="str">
        <x:v>Developer-outreach watchlist</x:v>
      </x:c>
      <x:c r="X92" s="30" t="str">
        <x:v>Low</x:v>
      </x:c>
      <x:c r="Y92" s="26" t="str">
        <x:v>Invite a verified developer profile and documentary evidence</x:v>
      </x:c>
      <x:c r="Z92" s="32" t="str">
        <x:v>https://www.kenresearch.com/philippines-digital-agriculture-marketplaces-market</x:v>
      </x:c>
      <x:c r="AA92" s="32"/>
      <x:c r="AB92" s="30" t="str">
        <x:v>2026-07-11</x:v>
      </x:c>
      <x:c r="AC92" s="30" t="str">
        <x:v>Low</x:v>
      </x:c>
      <x:c r="AD92" s="26" t="str">
        <x:v>Discovery lead only.</x:v>
      </x:c>
      <x:c r="AE92" s="26" t="str"/>
      <x:c r="AF92" s="26" t="str">
        <x:v>Finance, insurance &amp; payments</x:v>
      </x:c>
      <x:c r="AG92" s="26" t="str">
        <x:v>Agriculture — general</x:v>
      </x:c>
      <x:c r="AH92" s="26" t="str">
        <x:v>Finance, insurance &amp; payments</x:v>
      </x:c>
      <x:c r="AI92" s="26" t="str">
        <x:v>Digital service — unspecified stack</x:v>
      </x:c>
      <x:c r="AJ92" s="30" t="n">
        <x:f>IF(AF92="","",LEN(AF92)-LEN(SUBSTITUTE(AF92,";",""))+1)</x:f>
        <x:v>1</x:v>
      </x:c>
      <x:c r="AK92" s="26" t="str">
        <x:v>Not dedicated</x:v>
      </x:c>
    </x:row>
    <x:row r="93" ht="56" customHeight="1">
      <x:c r="A93" s="26" t="str">
        <x:v>D2-089</x:v>
      </x:c>
      <x:c r="B93" s="26" t="str">
        <x:v>Sakahon</x:v>
      </x:c>
      <x:c r="C93" s="26" t="str">
        <x:v>Sakahon</x:v>
      </x:c>
      <x:c r="D93" s="26" t="str">
        <x:v>Private startup</x:v>
      </x:c>
      <x:c r="E93" s="26" t="str">
        <x:v>Private company</x:v>
      </x:c>
      <x:c r="F93" s="26" t="str">
        <x:v>Agriculture</x:v>
      </x:c>
      <x:c r="G93" s="26" t="str">
        <x:v>Philippines</x:v>
      </x:c>
      <x:c r="H93" s="26" t="str">
        <x:v>Farm and market services</x:v>
      </x:c>
      <x:c r="I93" s="26" t="str">
        <x:v>Information and advisory services</x:v>
      </x:c>
      <x:c r="J93" s="26" t="str">
        <x:v>Farm management &amp; decision support</x:v>
      </x:c>
      <x:c r="K93" s="26" t="str">
        <x:v>Local agriculture platform reported in ecosystem discussions</x:v>
      </x:c>
      <x:c r="L93" s="26" t="str">
        <x:v>Digital platform</x:v>
      </x:c>
      <x:c r="M93" s="26" t="str">
        <x:v>Farmers and agribusinesses</x:v>
      </x:c>
      <x:c r="N93" s="30" t="str">
        <x:v>Indirect</x:v>
      </x:c>
      <x:c r="O93" s="30" t="str">
        <x:v>Indirect</x:v>
      </x:c>
      <x:c r="P93" s="30" t="str">
        <x:v>Indirect</x:v>
      </x:c>
      <x:c r="Q93" s="26" t="str">
        <x:v>Unknown</x:v>
      </x:c>
      <x:c r="R93" s="26" t="str">
        <x:v>Status unverified</x:v>
      </x:c>
      <x:c r="S93" s="26" t="str">
        <x:v>Detailed current evidence was not located</x:v>
      </x:c>
      <x:c r="T93" s="26" t="str">
        <x:v>Potential locally tailored service</x:v>
      </x:c>
      <x:c r="U93" s="26" t="str">
        <x:v>Insufficient documentation, users and operating-status evidence</x:v>
      </x:c>
      <x:c r="V93" s="26" t="str">
        <x:v>Interoperability and data governance are unknown</x:v>
      </x:c>
      <x:c r="W93" s="26" t="str">
        <x:v>Developer-outreach watchlist</x:v>
      </x:c>
      <x:c r="X93" s="30" t="str">
        <x:v>Low</x:v>
      </x:c>
      <x:c r="Y93" s="26" t="str">
        <x:v>Require direct developer validation and an active-product demonstration</x:v>
      </x:c>
      <x:c r="Z93" s="32" t="str">
        <x:v>https://www.kenresearch.com/philippines-digital-agriculture-marketplaces-market</x:v>
      </x:c>
      <x:c r="AA93" s="32"/>
      <x:c r="AB93" s="30" t="str">
        <x:v>2026-07-11</x:v>
      </x:c>
      <x:c r="AC93" s="30" t="str">
        <x:v>Low</x:v>
      </x:c>
      <x:c r="AD93" s="26" t="str">
        <x:v>Discovery lead only.</x:v>
      </x:c>
      <x:c r="AE93" s="26" t="str">
        <x:v>Advisory &amp; e-extension</x:v>
      </x:c>
      <x:c r="AF93" s="26" t="str">
        <x:v>Advisory &amp; e-extension; Farm management &amp; decision support</x:v>
      </x:c>
      <x:c r="AG93" s="26" t="str">
        <x:v>Agriculture — general</x:v>
      </x:c>
      <x:c r="AH93" s="26" t="str">
        <x:v>Production &amp; farm management; Markets &amp; trade; Extension, training &amp; support</x:v>
      </x:c>
      <x:c r="AI93" s="26" t="str">
        <x:v>Digital service — unspecified stack</x:v>
      </x:c>
      <x:c r="AJ93" s="30" t="n">
        <x:f>IF(AF93="","",LEN(AF93)-LEN(SUBSTITUTE(AF93,";",""))+1)</x:f>
        <x:v>2</x:v>
      </x:c>
      <x:c r="AK93" s="26" t="str">
        <x:v>Not dedicated</x:v>
      </x:c>
    </x:row>
    <x:row r="94" ht="56" customHeight="1">
      <x:c r="A94" s="26" t="str">
        <x:v>D2-090</x:v>
      </x:c>
      <x:c r="B94" s="26" t="str">
        <x:v>Farm Konekt</x:v>
      </x:c>
      <x:c r="C94" s="26" t="str">
        <x:v>Farm Konekt</x:v>
      </x:c>
      <x:c r="D94" s="26" t="str">
        <x:v>Private startup / initiative</x:v>
      </x:c>
      <x:c r="E94" s="26" t="str">
        <x:v>Private / unknown</x:v>
      </x:c>
      <x:c r="F94" s="26" t="str">
        <x:v>Agriculture</x:v>
      </x:c>
      <x:c r="G94" s="26" t="str">
        <x:v>Philippines</x:v>
      </x:c>
      <x:c r="H94" s="26" t="str">
        <x:v>Market and farm services</x:v>
      </x:c>
      <x:c r="I94" s="26" t="str">
        <x:v>E-commerce</x:v>
      </x:c>
      <x:c r="J94" s="26" t="str">
        <x:v>Markets, e-commerce &amp; logistics</x:v>
      </x:c>
      <x:c r="K94" s="26" t="str">
        <x:v>Platform intended to connect farms with services or markets</x:v>
      </x:c>
      <x:c r="L94" s="26" t="str">
        <x:v>Digital platform</x:v>
      </x:c>
      <x:c r="M94" s="26" t="str">
        <x:v>Farmers, buyers and service providers</x:v>
      </x:c>
      <x:c r="N94" s="30" t="str">
        <x:v>Indirect</x:v>
      </x:c>
      <x:c r="O94" s="30" t="str">
        <x:v>Indirect</x:v>
      </x:c>
      <x:c r="P94" s="30" t="str">
        <x:v>Indirect</x:v>
      </x:c>
      <x:c r="Q94" s="26" t="str">
        <x:v>Unknown</x:v>
      </x:c>
      <x:c r="R94" s="26" t="str">
        <x:v>Status unverified</x:v>
      </x:c>
      <x:c r="S94" s="26" t="str">
        <x:v>Appears in ecosystem discussions; current authoritative source not located</x:v>
      </x:c>
      <x:c r="T94" s="26" t="str">
        <x:v>Potential network function</x:v>
      </x:c>
      <x:c r="U94" s="26" t="str">
        <x:v>Insufficient evidence on operation, reach and outcomes</x:v>
      </x:c>
      <x:c r="V94" s="26" t="str">
        <x:v>Interoperability and governance are unknown</x:v>
      </x:c>
      <x:c r="W94" s="26" t="str">
        <x:v>Developer-outreach watchlist</x:v>
      </x:c>
      <x:c r="X94" s="30" t="str">
        <x:v>Low</x:v>
      </x:c>
      <x:c r="Y94" s="26" t="str">
        <x:v>Seek direct submission and evidence before public endorsement</x:v>
      </x:c>
      <x:c r="Z94" s="32" t="str">
        <x:v>https://www.kenresearch.com/philippines-digital-agriculture-marketplaces-market</x:v>
      </x:c>
      <x:c r="AA94" s="32"/>
      <x:c r="AB94" s="30" t="str">
        <x:v>2026-07-11</x:v>
      </x:c>
      <x:c r="AC94" s="30" t="str">
        <x:v>Low</x:v>
      </x:c>
      <x:c r="AD94" s="26" t="str">
        <x:v>Discovery lead only.</x:v>
      </x:c>
      <x:c r="AE94" s="26" t="str"/>
      <x:c r="AF94" s="26" t="str">
        <x:v>Markets, e-commerce &amp; logistics</x:v>
      </x:c>
      <x:c r="AG94" s="26" t="str">
        <x:v>Agriculture — general</x:v>
      </x:c>
      <x:c r="AH94" s="26" t="str">
        <x:v>Logistics &amp; distribution; Markets &amp; trade</x:v>
      </x:c>
      <x:c r="AI94" s="26" t="str">
        <x:v>Digital service — unspecified stack</x:v>
      </x:c>
      <x:c r="AJ94" s="30" t="n">
        <x:f>IF(AF94="","",LEN(AF94)-LEN(SUBSTITUTE(AF94,";",""))+1)</x:f>
        <x:v>1</x:v>
      </x:c>
      <x:c r="AK94" s="26" t="str">
        <x:v>Not dedicated</x:v>
      </x:c>
    </x:row>
    <x:row r="95" ht="56" customHeight="1">
      <x:c r="A95" s="26" t="str">
        <x:v>D2-091</x:v>
      </x:c>
      <x:c r="B95" s="26" t="str">
        <x:v>iCarus Agri-Tech</x:v>
      </x:c>
      <x:c r="C95" s="26" t="str">
        <x:v>iCarus</x:v>
      </x:c>
      <x:c r="D95" s="26" t="str">
        <x:v>iCarus Agri-Tech</x:v>
      </x:c>
      <x:c r="E95" s="26" t="str">
        <x:v>Private company</x:v>
      </x:c>
      <x:c r="F95" s="26" t="str">
        <x:v>Multiple crops</x:v>
      </x:c>
      <x:c r="G95" s="26" t="str">
        <x:v>Philippines / international activities</x:v>
      </x:c>
      <x:c r="H95" s="26" t="str">
        <x:v>Production and farm management</x:v>
      </x:c>
      <x:c r="I95" s="26" t="str">
        <x:v>Agricultural automation / smart farming</x:v>
      </x:c>
      <x:c r="J95" s="26" t="str">
        <x:v>Precision agriculture, EO, drones &amp; IoT</x:v>
      </x:c>
      <x:c r="K95" s="26" t="str">
        <x:v>Precision-agriculture and smart farm-management solutions</x:v>
      </x:c>
      <x:c r="L95" s="26" t="str">
        <x:v>Digital farm management and precision technologies</x:v>
      </x:c>
      <x:c r="M95" s="26" t="str">
        <x:v>Commercial farms and agribusinesses</x:v>
      </x:c>
      <x:c r="N95" s="30" t="str">
        <x:v>Yes</x:v>
      </x:c>
      <x:c r="O95" s="30" t="str">
        <x:v>Yes</x:v>
      </x:c>
      <x:c r="P95" s="30" t="str">
        <x:v>Indirect</x:v>
      </x:c>
      <x:c r="Q95" s="26" t="str">
        <x:v>Commercial / emerging</x:v>
      </x:c>
      <x:c r="R95" s="26" t="str">
        <x:v>Active / status partly verified</x:v>
      </x:c>
      <x:c r="S95" s="26" t="str">
        <x:v>Featured among Filipino agri-tech startups at InnoVEX 2025</x:v>
      </x:c>
      <x:c r="T95" s="26" t="str">
        <x:v>Current private-sector innovation</x:v>
      </x:c>
      <x:c r="U95" s="26" t="str">
        <x:v>Limited public detail on deployments, pricing, APIs and outcomes</x:v>
      </x:c>
      <x:c r="V95" s="26" t="str">
        <x:v>Commercial farm data likely require proprietary agreements</x:v>
      </x:c>
      <x:c r="W95" s="26" t="str">
        <x:v>Private technology connector / watchlist</x:v>
      </x:c>
      <x:c r="X95" s="30" t="str">
        <x:v>Medium</x:v>
      </x:c>
      <x:c r="Y95" s="26" t="str">
        <x:v>Obtain deployment, API, data-rights, cost and validation evidence</x:v>
      </x:c>
      <x:c r="Z95" s="32" t="str">
        <x:v>https://www.facebook.com/Agri.AMAS/posts/1246978703885717/</x:v>
      </x:c>
      <x:c r="AA95" s="32"/>
      <x:c r="AB95" s="30" t="str">
        <x:v>2026-07-11</x:v>
      </x:c>
      <x:c r="AC95" s="30" t="str">
        <x:v>Medium</x:v>
      </x:c>
      <x:c r="AD95" s="26"/>
      <x:c r="AE95" s="26" t="str">
        <x:v>Farm management &amp; decision support</x:v>
      </x:c>
      <x:c r="AF95" s="26" t="str">
        <x:v>Farm management &amp; decision support; Precision agriculture, EO, drones &amp; IoT</x:v>
      </x:c>
      <x:c r="AG95" s="26" t="str">
        <x:v>Cross-sector</x:v>
      </x:c>
      <x:c r="AH95" s="26" t="str">
        <x:v>Production &amp; farm management</x:v>
      </x:c>
      <x:c r="AI95" s="26" t="str">
        <x:v>Digital service — unspecified stack</x:v>
      </x:c>
      <x:c r="AJ95" s="30" t="n">
        <x:f>IF(AF95="","",LEN(AF95)-LEN(SUBSTITUTE(AF95,";",""))+1)</x:f>
        <x:v>2</x:v>
      </x:c>
      <x:c r="AK95" s="26" t="str">
        <x:v>Not dedicated</x:v>
      </x:c>
    </x:row>
    <x:row r="96" ht="56" customHeight="1">
      <x:c r="A96" s="26" t="str">
        <x:v>D2-092</x:v>
      </x:c>
      <x:c r="B96" s="26" t="str">
        <x:v>Facebook Marketplace for Agri-products</x:v>
      </x:c>
      <x:c r="C96" s="26" t="str">
        <x:v>Facebook Marketplace</x:v>
      </x:c>
      <x:c r="D96" s="26" t="str">
        <x:v>Platform owner / DTI for Go Lokal!</x:v>
      </x:c>
      <x:c r="E96" s="26" t="str">
        <x:v>General platform / government program</x:v>
      </x:c>
      <x:c r="F96" s="26" t="str">
        <x:v>Agri-food and inputs among broader categories</x:v>
      </x:c>
      <x:c r="G96" s="26" t="str">
        <x:v>National</x:v>
      </x:c>
      <x:c r="H96" s="26" t="str">
        <x:v>Market and retail</x:v>
      </x:c>
      <x:c r="I96" s="26" t="str">
        <x:v>E-commerce</x:v>
      </x:c>
      <x:c r="J96" s="26" t="str">
        <x:v>Markets, e-commerce &amp; logistics</x:v>
      </x:c>
      <x:c r="K96" s="26" t="str">
        <x:v>General commerce channel used by some farm sellers.</x:v>
      </x:c>
      <x:c r="L96" s="26" t="str">
        <x:v>Web/mobile e-commerce or market-promotion platform</x:v>
      </x:c>
      <x:c r="M96" s="26" t="str">
        <x:v>Producers, MSMEs, consumers and sellers</x:v>
      </x:c>
      <x:c r="N96" s="30" t="str">
        <x:v>Indirect</x:v>
      </x:c>
      <x:c r="O96" s="30" t="str">
        <x:v>No</x:v>
      </x:c>
      <x:c r="P96" s="30" t="str">
        <x:v>No</x:v>
      </x:c>
      <x:c r="Q96" s="26" t="str">
        <x:v>Institutionalized</x:v>
      </x:c>
      <x:c r="R96" s="26" t="str">
        <x:v>Active / operational</x:v>
      </x:c>
      <x:c r="S96" s="26" t="str">
        <x:v>National consumer reach; agriculture-specific reach not isolated</x:v>
      </x:c>
      <x:c r="T96" s="26" t="str">
        <x:v>Existing traffic, payments and logistics ecosystems</x:v>
      </x:c>
      <x:c r="U96" s="26" t="str">
        <x:v>Discoverability, fees, quality risks and weak farmer-specific support</x:v>
      </x:c>
      <x:c r="V96" s="26" t="str">
        <x:v>Platform-controlled user and transaction data; proprietary interfaces</x:v>
      </x:c>
      <x:c r="W96" s="26" t="str">
        <x:v>External sales channel and referral</x:v>
      </x:c>
      <x:c r="X96" s="30" t="str">
        <x:v>Low</x:v>
      </x:c>
      <x:c r="Y96" s="26" t="str">
        <x:v>List as an optional channel, not core SINAG infrastructure</x:v>
      </x:c>
      <x:c r="Z96" s="32" t="str">
        <x:v>https://www.facebook.com/marketplace/</x:v>
      </x:c>
      <x:c r="AA96" s="32" t="str">
        <x:v>https://pidswebs.pids.gov.ph/CDN/document/pidsdps2329.pdf</x:v>
      </x:c>
      <x:c r="AB96" s="30" t="str">
        <x:v>2026-07-11</x:v>
      </x:c>
      <x:c r="AC96" s="30" t="str">
        <x:v>High</x:v>
      </x:c>
      <x:c r="AD96" s="26"/>
      <x:c r="AE96" s="26" t="str"/>
      <x:c r="AF96" s="26" t="str">
        <x:v>Markets, e-commerce &amp; logistics</x:v>
      </x:c>
      <x:c r="AG96" s="26" t="str">
        <x:v>Cross-sector</x:v>
      </x:c>
      <x:c r="AH96" s="26" t="str">
        <x:v>Logistics &amp; distribution; Markets &amp; trade</x:v>
      </x:c>
      <x:c r="AI96" s="26" t="str">
        <x:v>Web / portal; Mobile / Android</x:v>
      </x:c>
      <x:c r="AJ96" s="30" t="n">
        <x:f>IF(AF96="","",LEN(AF96)-LEN(SUBSTITUTE(AF96,";",""))+1)</x:f>
        <x:v>1</x:v>
      </x:c>
      <x:c r="AK96" s="26" t="str">
        <x:v>Not dedicated</x:v>
      </x:c>
    </x:row>
    <x:row r="97" ht="56" customHeight="1">
      <x:c r="A97" s="26" t="str">
        <x:v>D2-093</x:v>
      </x:c>
      <x:c r="B97" s="26" t="str">
        <x:v>Lazada Agriculture and Farm-supply Channels</x:v>
      </x:c>
      <x:c r="C97" s="26" t="str">
        <x:v>Lazada</x:v>
      </x:c>
      <x:c r="D97" s="26" t="str">
        <x:v>Platform owner / DTI for Go Lokal!</x:v>
      </x:c>
      <x:c r="E97" s="26" t="str">
        <x:v>General platform / government program</x:v>
      </x:c>
      <x:c r="F97" s="26" t="str">
        <x:v>Agri-food and inputs among broader categories</x:v>
      </x:c>
      <x:c r="G97" s="26" t="str">
        <x:v>National</x:v>
      </x:c>
      <x:c r="H97" s="26" t="str">
        <x:v>Market and retail</x:v>
      </x:c>
      <x:c r="I97" s="26" t="str">
        <x:v>E-commerce</x:v>
      </x:c>
      <x:c r="J97" s="26" t="str">
        <x:v>Markets, e-commerce &amp; logistics</x:v>
      </x:c>
      <x:c r="K97" s="26" t="str">
        <x:v>General marketplace with farm-input and product listings.</x:v>
      </x:c>
      <x:c r="L97" s="26" t="str">
        <x:v>Web/mobile e-commerce or market-promotion platform</x:v>
      </x:c>
      <x:c r="M97" s="26" t="str">
        <x:v>Producers, MSMEs, consumers and sellers</x:v>
      </x:c>
      <x:c r="N97" s="30" t="str">
        <x:v>Indirect</x:v>
      </x:c>
      <x:c r="O97" s="30" t="str">
        <x:v>No</x:v>
      </x:c>
      <x:c r="P97" s="30" t="str">
        <x:v>No</x:v>
      </x:c>
      <x:c r="Q97" s="26" t="str">
        <x:v>Institutionalized</x:v>
      </x:c>
      <x:c r="R97" s="26" t="str">
        <x:v>Active / operational</x:v>
      </x:c>
      <x:c r="S97" s="26" t="str">
        <x:v>National consumer reach; agriculture-specific reach not isolated</x:v>
      </x:c>
      <x:c r="T97" s="26" t="str">
        <x:v>Existing traffic, payments and logistics ecosystems</x:v>
      </x:c>
      <x:c r="U97" s="26" t="str">
        <x:v>Discoverability, fees, quality risks and weak farmer-specific support</x:v>
      </x:c>
      <x:c r="V97" s="26" t="str">
        <x:v>Platform-controlled user and transaction data; proprietary interfaces</x:v>
      </x:c>
      <x:c r="W97" s="26" t="str">
        <x:v>External sales channel and referral</x:v>
      </x:c>
      <x:c r="X97" s="30" t="str">
        <x:v>Low</x:v>
      </x:c>
      <x:c r="Y97" s="26" t="str">
        <x:v>List as an optional channel, not core SINAG infrastructure</x:v>
      </x:c>
      <x:c r="Z97" s="32" t="str">
        <x:v>https://www.lazada.com.ph/</x:v>
      </x:c>
      <x:c r="AA97" s="32" t="str">
        <x:v>https://pidswebs.pids.gov.ph/CDN/document/pidsdps2329.pdf</x:v>
      </x:c>
      <x:c r="AB97" s="30" t="str">
        <x:v>2026-07-11</x:v>
      </x:c>
      <x:c r="AC97" s="30" t="str">
        <x:v>High</x:v>
      </x:c>
      <x:c r="AD97" s="26"/>
      <x:c r="AE97" s="26" t="str"/>
      <x:c r="AF97" s="26" t="str">
        <x:v>Markets, e-commerce &amp; logistics</x:v>
      </x:c>
      <x:c r="AG97" s="26" t="str">
        <x:v>Cross-sector</x:v>
      </x:c>
      <x:c r="AH97" s="26" t="str">
        <x:v>Inputs, seed &amp; feed; Logistics &amp; distribution; Markets &amp; trade</x:v>
      </x:c>
      <x:c r="AI97" s="26" t="str">
        <x:v>Web / portal; Mobile / Android</x:v>
      </x:c>
      <x:c r="AJ97" s="30" t="n">
        <x:f>IF(AF97="","",LEN(AF97)-LEN(SUBSTITUTE(AF97,";",""))+1)</x:f>
        <x:v>1</x:v>
      </x:c>
      <x:c r="AK97" s="26" t="str">
        <x:v>Not dedicated</x:v>
      </x:c>
    </x:row>
    <x:row r="98" ht="56" customHeight="1">
      <x:c r="A98" s="26" t="str">
        <x:v>D2-094</x:v>
      </x:c>
      <x:c r="B98" s="26" t="str">
        <x:v>Shopee Agriculture and Farm-supply Channels</x:v>
      </x:c>
      <x:c r="C98" s="26" t="str">
        <x:v>Shopee</x:v>
      </x:c>
      <x:c r="D98" s="26" t="str">
        <x:v>Platform owner / DTI for Go Lokal!</x:v>
      </x:c>
      <x:c r="E98" s="26" t="str">
        <x:v>General platform / government program</x:v>
      </x:c>
      <x:c r="F98" s="26" t="str">
        <x:v>Agri-food and inputs among broader categories</x:v>
      </x:c>
      <x:c r="G98" s="26" t="str">
        <x:v>National</x:v>
      </x:c>
      <x:c r="H98" s="26" t="str">
        <x:v>Market and retail</x:v>
      </x:c>
      <x:c r="I98" s="26" t="str">
        <x:v>E-commerce</x:v>
      </x:c>
      <x:c r="J98" s="26" t="str">
        <x:v>Markets, e-commerce &amp; logistics</x:v>
      </x:c>
      <x:c r="K98" s="26" t="str">
        <x:v>General marketplace with farm-input and product listings.</x:v>
      </x:c>
      <x:c r="L98" s="26" t="str">
        <x:v>Web/mobile e-commerce or market-promotion platform</x:v>
      </x:c>
      <x:c r="M98" s="26" t="str">
        <x:v>Producers, MSMEs, consumers and sellers</x:v>
      </x:c>
      <x:c r="N98" s="30" t="str">
        <x:v>Indirect</x:v>
      </x:c>
      <x:c r="O98" s="30" t="str">
        <x:v>No</x:v>
      </x:c>
      <x:c r="P98" s="30" t="str">
        <x:v>No</x:v>
      </x:c>
      <x:c r="Q98" s="26" t="str">
        <x:v>Institutionalized</x:v>
      </x:c>
      <x:c r="R98" s="26" t="str">
        <x:v>Active / operational</x:v>
      </x:c>
      <x:c r="S98" s="26" t="str">
        <x:v>National consumer reach; agriculture-specific reach not isolated</x:v>
      </x:c>
      <x:c r="T98" s="26" t="str">
        <x:v>Existing traffic, payments and logistics ecosystems</x:v>
      </x:c>
      <x:c r="U98" s="26" t="str">
        <x:v>Discoverability, fees, quality risks and weak farmer-specific support</x:v>
      </x:c>
      <x:c r="V98" s="26" t="str">
        <x:v>Platform-controlled user and transaction data; proprietary interfaces</x:v>
      </x:c>
      <x:c r="W98" s="26" t="str">
        <x:v>External sales channel and referral</x:v>
      </x:c>
      <x:c r="X98" s="30" t="str">
        <x:v>Low</x:v>
      </x:c>
      <x:c r="Y98" s="26" t="str">
        <x:v>List as an optional channel, not core SINAG infrastructure</x:v>
      </x:c>
      <x:c r="Z98" s="32" t="str">
        <x:v>https://shopee.ph/</x:v>
      </x:c>
      <x:c r="AA98" s="32" t="str">
        <x:v>https://pidswebs.pids.gov.ph/CDN/document/pidsdps2329.pdf</x:v>
      </x:c>
      <x:c r="AB98" s="30" t="str">
        <x:v>2026-07-11</x:v>
      </x:c>
      <x:c r="AC98" s="30" t="str">
        <x:v>High</x:v>
      </x:c>
      <x:c r="AD98" s="26"/>
      <x:c r="AE98" s="26" t="str"/>
      <x:c r="AF98" s="26" t="str">
        <x:v>Markets, e-commerce &amp; logistics</x:v>
      </x:c>
      <x:c r="AG98" s="26" t="str">
        <x:v>Cross-sector</x:v>
      </x:c>
      <x:c r="AH98" s="26" t="str">
        <x:v>Inputs, seed &amp; feed; Logistics &amp; distribution; Markets &amp; trade</x:v>
      </x:c>
      <x:c r="AI98" s="26" t="str">
        <x:v>Web / portal; Mobile / Android</x:v>
      </x:c>
      <x:c r="AJ98" s="30" t="n">
        <x:f>IF(AF98="","",LEN(AF98)-LEN(SUBSTITUTE(AF98,";",""))+1)</x:f>
        <x:v>1</x:v>
      </x:c>
      <x:c r="AK98" s="26" t="str">
        <x:v>Not dedicated</x:v>
      </x:c>
    </x:row>
    <x:row r="99" ht="56" customHeight="1">
      <x:c r="A99" s="26" t="str">
        <x:v>D2-095</x:v>
      </x:c>
      <x:c r="B99" s="26" t="str">
        <x:v>Go Lokal! Digital Market Channels</x:v>
      </x:c>
      <x:c r="C99" s="26" t="str">
        <x:v>Go Lokal!</x:v>
      </x:c>
      <x:c r="D99" s="26" t="str">
        <x:v>Platform owner / DTI for Go Lokal!</x:v>
      </x:c>
      <x:c r="E99" s="26" t="str">
        <x:v>General platform / government program</x:v>
      </x:c>
      <x:c r="F99" s="26" t="str">
        <x:v>Agri-food and inputs among broader categories</x:v>
      </x:c>
      <x:c r="G99" s="26" t="str">
        <x:v>National</x:v>
      </x:c>
      <x:c r="H99" s="26" t="str">
        <x:v>Market and retail</x:v>
      </x:c>
      <x:c r="I99" s="26" t="str">
        <x:v>E-commerce</x:v>
      </x:c>
      <x:c r="J99" s="26" t="str">
        <x:v>Markets, e-commerce &amp; logistics</x:v>
      </x:c>
      <x:c r="K99" s="26" t="str">
        <x:v>DTI market-access channel for local MSMEs, including agri-food.</x:v>
      </x:c>
      <x:c r="L99" s="26" t="str">
        <x:v>Web/mobile e-commerce or market-promotion platform</x:v>
      </x:c>
      <x:c r="M99" s="26" t="str">
        <x:v>Producers, MSMEs, consumers and sellers</x:v>
      </x:c>
      <x:c r="N99" s="30" t="str">
        <x:v>Indirect</x:v>
      </x:c>
      <x:c r="O99" s="30" t="str">
        <x:v>No</x:v>
      </x:c>
      <x:c r="P99" s="30" t="str">
        <x:v>No</x:v>
      </x:c>
      <x:c r="Q99" s="26" t="str">
        <x:v>Institutionalized</x:v>
      </x:c>
      <x:c r="R99" s="26" t="str">
        <x:v>Active / operational</x:v>
      </x:c>
      <x:c r="S99" s="26" t="str">
        <x:v>National consumer reach; agriculture-specific reach not isolated</x:v>
      </x:c>
      <x:c r="T99" s="26" t="str">
        <x:v>Existing traffic, payments and logistics ecosystems</x:v>
      </x:c>
      <x:c r="U99" s="26" t="str">
        <x:v>Discoverability, fees, quality risks and weak farmer-specific support</x:v>
      </x:c>
      <x:c r="V99" s="26" t="str">
        <x:v>Platform-controlled user and transaction data; proprietary interfaces</x:v>
      </x:c>
      <x:c r="W99" s="26" t="str">
        <x:v>External sales channel and referral</x:v>
      </x:c>
      <x:c r="X99" s="30" t="str">
        <x:v>Low</x:v>
      </x:c>
      <x:c r="Y99" s="26" t="str">
        <x:v>List as an optional channel, not core SINAG infrastructure</x:v>
      </x:c>
      <x:c r="Z99" s="32" t="str">
        <x:v>https://golokal.dti.gov.ph/</x:v>
      </x:c>
      <x:c r="AA99" s="32" t="str">
        <x:v>https://pidswebs.pids.gov.ph/CDN/document/pidsdps2329.pdf</x:v>
      </x:c>
      <x:c r="AB99" s="30" t="str">
        <x:v>2026-07-11</x:v>
      </x:c>
      <x:c r="AC99" s="30" t="str">
        <x:v>High</x:v>
      </x:c>
      <x:c r="AD99" s="26"/>
      <x:c r="AE99" s="26" t="str"/>
      <x:c r="AF99" s="26" t="str">
        <x:v>Markets, e-commerce &amp; logistics</x:v>
      </x:c>
      <x:c r="AG99" s="26" t="str">
        <x:v>Cross-sector</x:v>
      </x:c>
      <x:c r="AH99" s="26" t="str">
        <x:v>Logistics &amp; distribution; Markets &amp; trade</x:v>
      </x:c>
      <x:c r="AI99" s="26" t="str">
        <x:v>Web / portal; Mobile / Android</x:v>
      </x:c>
      <x:c r="AJ99" s="30" t="n">
        <x:f>IF(AF99="","",LEN(AF99)-LEN(SUBSTITUTE(AF99,";",""))+1)</x:f>
        <x:v>1</x:v>
      </x:c>
      <x:c r="AK99" s="26" t="str">
        <x:v>Not dedicated</x:v>
      </x:c>
    </x:row>
    <x:row r="100" ht="56" customHeight="1">
      <x:c r="A100" s="26" t="str">
        <x:v>D2-096</x:v>
      </x:c>
      <x:c r="B100" s="26" t="str">
        <x:v>Global Market Intelligence Platform</x:v>
      </x:c>
      <x:c r="C100" s="26" t="str">
        <x:v>GloMIP</x:v>
      </x:c>
      <x:c r="D100" s="26" t="str">
        <x:v>CGIAR and partners</x:v>
      </x:c>
      <x:c r="E100" s="26" t="str">
        <x:v>International research partnership</x:v>
      </x:c>
      <x:c r="F100" s="26" t="str">
        <x:v>Agrifood markets</x:v>
      </x:c>
      <x:c r="G100" s="26" t="str">
        <x:v>Global with Philippine use</x:v>
      </x:c>
      <x:c r="H100" s="26" t="str">
        <x:v>Market intelligence and planning</x:v>
      </x:c>
      <x:c r="I100" s="26" t="str">
        <x:v>Decision support / computer-enabled systems</x:v>
      </x:c>
      <x:c r="J100" s="26" t="str">
        <x:v>Markets, e-commerce &amp; logistics</x:v>
      </x:c>
      <x:c r="K100" s="26" t="str">
        <x:v>Provides agricultural market intelligence and analytics</x:v>
      </x:c>
      <x:c r="L100" s="26" t="str">
        <x:v>Web data platform and analytics</x:v>
      </x:c>
      <x:c r="M100" s="26" t="str">
        <x:v>Policy makers, researchers and market analysts</x:v>
      </x:c>
      <x:c r="N100" s="30" t="str">
        <x:v>Indirect</x:v>
      </x:c>
      <x:c r="O100" s="30" t="str">
        <x:v>Yes</x:v>
      </x:c>
      <x:c r="P100" s="30" t="str">
        <x:v>Indirect</x:v>
      </x:c>
      <x:c r="Q100" s="26" t="str">
        <x:v>Operational</x:v>
      </x:c>
      <x:c r="R100" s="26" t="str">
        <x:v>Active / operational</x:v>
      </x:c>
      <x:c r="S100" s="26" t="str">
        <x:v>Featured at ICTforAg Philippines in 2024</x:v>
      </x:c>
      <x:c r="T100" s="26" t="str">
        <x:v>Broad data coverage and analytical depth</x:v>
      </x:c>
      <x:c r="U100" s="26" t="str">
        <x:v>Local granularity, usability, timeliness and translation to farm decisions</x:v>
      </x:c>
      <x:c r="V100" s="26" t="str">
        <x:v>Licenses, methods and machine-readable services need assessment</x:v>
      </x:c>
      <x:c r="W100" s="26" t="str">
        <x:v>External market-intelligence feed</x:v>
      </x:c>
      <x:c r="X100" s="30" t="str">
        <x:v>Medium</x:v>
      </x:c>
      <x:c r="Y100" s="26" t="str">
        <x:v>Federate selected indicators with geography, date, method and uncertainty</x:v>
      </x:c>
      <x:c r="Z100" s="32" t="str">
        <x:v>https://glomip.cgiar.org/</x:v>
      </x:c>
      <x:c r="AA100" s="32" t="str">
        <x:v>https://www.irri.org/news-and-events/news/philippines-stakeholders-are-charting-future-digital-agriculture</x:v>
      </x:c>
      <x:c r="AB100" s="30" t="str">
        <x:v>2026-07-11</x:v>
      </x:c>
      <x:c r="AC100" s="30" t="str">
        <x:v>High</x:v>
      </x:c>
      <x:c r="AD100" s="26"/>
      <x:c r="AE100" s="26" t="str">
        <x:v>Data infrastructure, interoperability &amp; dashboards</x:v>
      </x:c>
      <x:c r="AF100" s="26" t="str">
        <x:v>Markets, e-commerce &amp; logistics; Data infrastructure, interoperability &amp; dashboards</x:v>
      </x:c>
      <x:c r="AG100" s="26" t="str">
        <x:v>Agriculture — general</x:v>
      </x:c>
      <x:c r="AH100" s="26" t="str">
        <x:v>Logistics &amp; distribution; Markets &amp; trade</x:v>
      </x:c>
      <x:c r="AI100" s="26" t="str">
        <x:v>Web / portal; Dashboard / analytics</x:v>
      </x:c>
      <x:c r="AJ100" s="30" t="n">
        <x:f>IF(AF100="","",LEN(AF100)-LEN(SUBSTITUTE(AF100,";",""))+1)</x:f>
        <x:v>2</x:v>
      </x:c>
      <x:c r="AK100" s="26" t="str">
        <x:v>Not dedicated</x:v>
      </x:c>
    </x:row>
    <x:row r="101" ht="56" customHeight="1">
      <x:c r="A101" s="26" t="str">
        <x:v>D2-097</x:v>
      </x:c>
      <x:c r="B101" s="26" t="str">
        <x:v>eDECIDE Data Analysis and API Platform</x:v>
      </x:c>
      <x:c r="C101" s="26" t="str">
        <x:v>eDECIDE</x:v>
      </x:c>
      <x:c r="D101" s="26" t="str">
        <x:v>DOST-ASTI</x:v>
      </x:c>
      <x:c r="E101" s="26" t="str">
        <x:v>National research institute</x:v>
      </x:c>
      <x:c r="F101" s="26" t="str">
        <x:v>Cross-sector government data</x:v>
      </x:c>
      <x:c r="G101" s="26" t="str">
        <x:v>National / agency deployments</x:v>
      </x:c>
      <x:c r="H101" s="26" t="str">
        <x:v>Decision support and data integration</x:v>
      </x:c>
      <x:c r="I101" s="26" t="str">
        <x:v>Decision support / computer-enabled systems</x:v>
      </x:c>
      <x:c r="J101" s="26" t="str">
        <x:v>Data infrastructure, interoperability &amp; dashboards</x:v>
      </x:c>
      <x:c r="K101" s="26" t="str">
        <x:v>API platform for data collection, analysis and visualization</x:v>
      </x:c>
      <x:c r="L101" s="26" t="str">
        <x:v>API platform, analytics and dashboards</x:v>
      </x:c>
      <x:c r="M101" s="26" t="str">
        <x:v>Government managers and institutions</x:v>
      </x:c>
      <x:c r="N101" s="30" t="str">
        <x:v>Indirect</x:v>
      </x:c>
      <x:c r="O101" s="30" t="str">
        <x:v>Indirect</x:v>
      </x:c>
      <x:c r="P101" s="30" t="str">
        <x:v>Indirect</x:v>
      </x:c>
      <x:c r="Q101" s="26" t="str">
        <x:v>Development / deployment</x:v>
      </x:c>
      <x:c r="R101" s="26" t="str">
        <x:v>Project ongoing</x:v>
      </x:c>
      <x:c r="S101" s="26" t="str">
        <x:v>Official project period 2024–2026</x:v>
      </x:c>
      <x:c r="T101" s="26" t="str">
        <x:v>Explicit API and integration orientation</x:v>
      </x:c>
      <x:c r="U101" s="26" t="str">
        <x:v>Cross-agency governance, standards, security and sustained ownership</x:v>
      </x:c>
      <x:c r="V101" s="26" t="str">
        <x:v>API integration is central; sharing rules must be defined per deployment</x:v>
      </x:c>
      <x:c r="W101" s="26" t="str">
        <x:v>Potential shared government analytics infrastructure</x:v>
      </x:c>
      <x:c r="X101" s="30" t="str">
        <x:v>Medium</x:v>
      </x:c>
      <x:c r="Y101" s="26" t="str">
        <x:v>Assess reuse for SINAG back-end services before building redundant infrastructure</x:v>
      </x:c>
      <x:c r="Z101" s="32" t="str">
        <x:v>https://asti.dost.gov.ph/wp-content/uploads/ASTI-PPAs-2026-v2-FDL_17-June-26.pdf</x:v>
      </x:c>
      <x:c r="AA101" s="32"/>
      <x:c r="AB101" s="30" t="str">
        <x:v>2026-07-11</x:v>
      </x:c>
      <x:c r="AC101" s="30" t="str">
        <x:v>High</x:v>
      </x:c>
      <x:c r="AD101" s="26"/>
      <x:c r="AE101" s="26" t="str"/>
      <x:c r="AF101" s="26" t="str">
        <x:v>Data infrastructure, interoperability &amp; dashboards</x:v>
      </x:c>
      <x:c r="AG101" s="26" t="str">
        <x:v>Cross-sector</x:v>
      </x:c>
      <x:c r="AH101" s="26" t="str">
        <x:v>Cross-cutting</x:v>
      </x:c>
      <x:c r="AI101" s="26" t="str">
        <x:v>Dashboard / analytics; API / data exchange</x:v>
      </x:c>
      <x:c r="AJ101" s="30" t="n">
        <x:f>IF(AF101="","",LEN(AF101)-LEN(SUBSTITUTE(AF101,";",""))+1)</x:f>
        <x:v>1</x:v>
      </x:c>
      <x:c r="AK101" s="26" t="str">
        <x:v>Not dedicated</x:v>
      </x:c>
    </x:row>
    <x:row r="102" ht="56" customHeight="1">
      <x:c r="A102" s="26" t="str">
        <x:v>D2-098</x:v>
      </x:c>
      <x:c r="B102" s="26" t="str">
        <x:v>BlockSTART National Blockchain Infrastructure Feasibility Study</x:v>
      </x:c>
      <x:c r="C102" s="26" t="str">
        <x:v>BlockSTART</x:v>
      </x:c>
      <x:c r="D102" s="26" t="str">
        <x:v>DOST-ASTI / DOST-PCIEERD</x:v>
      </x:c>
      <x:c r="E102" s="26" t="str">
        <x:v>National research institute</x:v>
      </x:c>
      <x:c r="F102" s="26" t="str">
        <x:v>Cross-sector enabling infrastructure</x:v>
      </x:c>
      <x:c r="G102" s="26" t="str">
        <x:v>National</x:v>
      </x:c>
      <x:c r="H102" s="26" t="str">
        <x:v>Trust and data infrastructure</x:v>
      </x:c>
      <x:c r="I102" s="26" t="str">
        <x:v>Research / prototype</x:v>
      </x:c>
      <x:c r="J102" s="26" t="str">
        <x:v>Data infrastructure, interoperability &amp; dashboards</x:v>
      </x:c>
      <x:c r="K102" s="26" t="str">
        <x:v>Assesses feasibility of national blockchain infrastructure</x:v>
      </x:c>
      <x:c r="L102" s="26" t="str">
        <x:v>Feasibility study and blockchain architecture</x:v>
      </x:c>
      <x:c r="M102" s="26" t="str">
        <x:v>Government, research and industry</x:v>
      </x:c>
      <x:c r="N102" s="30" t="str">
        <x:v>Indirect</x:v>
      </x:c>
      <x:c r="O102" s="30" t="str">
        <x:v>Indirect</x:v>
      </x:c>
      <x:c r="P102" s="30" t="str">
        <x:v>Indirect</x:v>
      </x:c>
      <x:c r="Q102" s="26" t="str">
        <x:v>Feasibility study</x:v>
      </x:c>
      <x:c r="R102" s="26" t="str">
        <x:v>Project completed / next phase unverified</x:v>
      </x:c>
      <x:c r="S102" s="26" t="str">
        <x:v>Study period March 2025–February 2026</x:v>
      </x:c>
      <x:c r="T102" s="26" t="str">
        <x:v>Potential shared-infrastructure and governance learning</x:v>
      </x:c>
      <x:c r="U102" s="26" t="str">
        <x:v>Technology-first adoption, unclear use cases, privacy, cost and sustainability</x:v>
      </x:c>
      <x:c r="V102" s="26" t="str">
        <x:v>Blockchain does not replace lawful governance or off-chain privacy</x:v>
      </x:c>
      <x:c r="W102" s="26" t="str">
        <x:v>Optional trust-infrastructure input</x:v>
      </x:c>
      <x:c r="X102" s="30" t="str">
        <x:v>Low</x:v>
      </x:c>
      <x:c r="Y102" s="26" t="str">
        <x:v>Use only where a shared ledger solves a demonstrated multi-party trust problem</x:v>
      </x:c>
      <x:c r="Z102" s="32" t="str">
        <x:v>https://asti.dost.gov.ph/wp-content/uploads/ASTI-PPAs-2026-v2-FDL_17-June-26.pdf</x:v>
      </x:c>
      <x:c r="AA102" s="32"/>
      <x:c r="AB102" s="30" t="str">
        <x:v>2026-07-11</x:v>
      </x:c>
      <x:c r="AC102" s="30" t="str">
        <x:v>High</x:v>
      </x:c>
      <x:c r="AD102" s="26"/>
      <x:c r="AE102" s="26" t="str">
        <x:v>Traceability, food safety &amp; MRV</x:v>
      </x:c>
      <x:c r="AF102" s="26" t="str">
        <x:v>Traceability, food safety &amp; MRV; Data infrastructure, interoperability &amp; dashboards</x:v>
      </x:c>
      <x:c r="AG102" s="26" t="str">
        <x:v>Cross-sector</x:v>
      </x:c>
      <x:c r="AH102" s="26" t="str">
        <x:v>R&amp;D, breeding &amp; genetic resources; Traceability, compliance &amp; MRV</x:v>
      </x:c>
      <x:c r="AI102" s="26" t="str">
        <x:v>Blockchain / DLT</x:v>
      </x:c>
      <x:c r="AJ102" s="30" t="n">
        <x:f>IF(AF102="","",LEN(AF102)-LEN(SUBSTITUTE(AF102,";",""))+1)</x:f>
        <x:v>2</x:v>
      </x:c>
      <x:c r="AK102" s="26" t="str">
        <x:v>Not dedicated</x:v>
      </x:c>
    </x:row>
    <x:row r="103" ht="56" customHeight="1">
      <x:c r="A103" s="26" t="str">
        <x:v>D2-099</x:v>
      </x:c>
      <x:c r="B103" s="26" t="str">
        <x:v>DigiSaka Digital Agriculture System</x:v>
      </x:c>
      <x:c r="C103" s="26" t="str">
        <x:v>DigiSaka</x:v>
      </x:c>
      <x:c r="D103" s="26" t="str">
        <x:v>Leads Agricultural Products Corporation with IMPACT R&amp;D and partners</x:v>
      </x:c>
      <x:c r="E103" s="26" t="str">
        <x:v>Private–nonprofit partnership</x:v>
      </x:c>
      <x:c r="F103" s="26" t="str">
        <x:v>Cross-sector with rice and farm-service use cases</x:v>
      </x:c>
      <x:c r="G103" s="26" t="str">
        <x:v>Philippines / pilot and partner areas</x:v>
      </x:c>
      <x:c r="H103" s="26" t="str">
        <x:v>Cross-cutting operations and MRV</x:v>
      </x:c>
      <x:c r="I103" s="26" t="str">
        <x:v>Cross-cutting / enabling</x:v>
      </x:c>
      <x:c r="J103" s="26" t="str">
        <x:v>Farm management &amp; decision support</x:v>
      </x:c>
      <x:c r="K103" s="26" t="str">
        <x:v>Rapid farm/farmer registry, operational monitoring, services, advisories, market/finance referrals and traceability</x:v>
      </x:c>
      <x:c r="L103" s="26" t="str">
        <x:v>WebGIS, mobile, dashboards, offline workflows, analytics and optional blockchain</x:v>
      </x:c>
      <x:c r="M103" s="26" t="str">
        <x:v>Farmers, FCAs, developers, verifiers, processors, traders, regulators and service providers</x:v>
      </x:c>
      <x:c r="N103" s="30" t="str">
        <x:v>Yes</x:v>
      </x:c>
      <x:c r="O103" s="30" t="str">
        <x:v>Yes</x:v>
      </x:c>
      <x:c r="P103" s="30" t="str">
        <x:v>Yes</x:v>
      </x:c>
      <x:c r="Q103" s="26" t="str">
        <x:v>Pilot / scaling platform</x:v>
      </x:c>
      <x:c r="R103" s="26" t="str">
        <x:v>Project ongoing</x:v>
      </x:c>
      <x:c r="S103" s="26" t="str">
        <x:v>Multiple use cases and partnership concepts; consolidated scale evidence is emerging</x:v>
      </x:c>
      <x:c r="T103" s="26" t="str">
        <x:v>Integrated operational, spatial and value-chain data layer</x:v>
      </x:c>
      <x:c r="U103" s="26" t="str">
        <x:v>Proving sustained adoption, avoiding over-complexity, partner governance and common standards</x:v>
      </x:c>
      <x:c r="V103" s="26" t="str">
        <x:v>Designed as an operational data/MRV layer; farmer-controlled consent, portability and APIs are essential</x:v>
      </x:c>
      <x:c r="W103" s="26" t="str">
        <x:v>Operational and transactional layer connected to SINAG</x:v>
      </x:c>
      <x:c r="X103" s="30" t="str">
        <x:v>High</x:v>
      </x:c>
      <x:c r="Y103" s="26" t="str">
        <x:v>Publish modular APIs and minimum farm-season/MRV standards; track cross-pilot adoption and outcomes</x:v>
      </x:c>
      <x:c r="Z103" s="32" t="str">
        <x:v>https://www.leadsagri.com/</x:v>
      </x:c>
      <x:c r="AA103" s="32" t="str">
        <x:v>https://www.impactofresearch.org/</x:v>
      </x:c>
      <x:c r="AB103" s="30" t="str">
        <x:v>2026-07-11</x:v>
      </x:c>
      <x:c r="AC103" s="30" t="str">
        <x:v>Medium</x:v>
      </x:c>
      <x:c r="AD103" s="26" t="str">
        <x:v>Modules previously discussed include core registries, parcel/season records, irrigation/AWD, straw/direct seeding, harvest, transactions, agreements, incentives and verification-triggered payments.</x:v>
      </x:c>
      <x:c r="AE103" s="26" t="str">
        <x:v>Registry &amp; digital identity; Advisory &amp; e-extension; Climate, weather &amp; early warning; Precision agriculture, EO, drones &amp; IoT; Pest, disease &amp; biosecurity; Mechanization &amp; equipment-as-a-service; Markets, e-commerce &amp; logistics; Finance, insurance &amp; payments; Traceability, food safety &amp; MRV; Data infrastructure, interoperability &amp; dashboards</x:v>
      </x:c>
      <x:c r="AF103" s="26" t="str">
        <x:v>Registry &amp; digital identity; Advisory &amp; e-extension; Farm management &amp; decision support; Climate, weather &amp; early warning; Precision agriculture, EO, drones &amp; IoT; Pest, disease &amp; biosecurity; Mechanization &amp; equipment-as-a-service; Markets, e-commerce &amp; logistics; Finance, insurance &amp; payments; Traceability, food safety &amp; MRV; Data infrastructure, interoperability &amp; dashboards</x:v>
      </x:c>
      <x:c r="AG103" s="26" t="str">
        <x:v>Cross-sector; Rice / palay</x:v>
      </x:c>
      <x:c r="AH103" s="26" t="str">
        <x:v>Registration &amp; identity; Production &amp; farm management; Markets &amp; trade; Finance, insurance &amp; payments; Traceability, compliance &amp; MRV</x:v>
      </x:c>
      <x:c r="AI103" s="26" t="str">
        <x:v>Web / portal; Mobile / Android; Offline-capable; Dashboard / analytics; Blockchain / DLT</x:v>
      </x:c>
      <x:c r="AJ103" s="30" t="n">
        <x:f>IF(AF103="","",LEN(AF103)-LEN(SUBSTITUTE(AF103,";",""))+1)</x:f>
        <x:v>11</x:v>
      </x:c>
      <x:c r="AK103" s="26" t="str">
        <x:v>Not dedicated</x:v>
      </x:c>
    </x:row>
    <x:row r="104" ht="56" customHeight="1">
      <x:c r="A104" s="26" t="str">
        <x:v>D2-100</x:v>
      </x:c>
      <x:c r="B104" s="26" t="str">
        <x:v>Smarter and Innovative Agriculture Virtual Hub</x:v>
      </x:c>
      <x:c r="C104" s="26" t="str">
        <x:v>SINAG Virtual Hub</x:v>
      </x:c>
      <x:c r="D104" s="26" t="str">
        <x:v>DOST Region III</x:v>
      </x:c>
      <x:c r="E104" s="26" t="str">
        <x:v>Regional government / national-scale ambition</x:v>
      </x:c>
      <x:c r="F104" s="26" t="str">
        <x:v>Cross-sector climate-smart agriculture</x:v>
      </x:c>
      <x:c r="G104" s="26" t="str">
        <x:v>Region III with potential national federation</x:v>
      </x:c>
      <x:c r="H104" s="26" t="str">
        <x:v>Compilation, integration and innovation support</x:v>
      </x:c>
      <x:c r="I104" s="26" t="str">
        <x:v>Cross-cutting / enabling</x:v>
      </x:c>
      <x:c r="J104" s="26" t="str">
        <x:v>Data infrastructure, interoperability &amp; dashboards</x:v>
      </x:c>
      <x:c r="K104" s="26" t="str">
        <x:v>Virtual hub intended to compile and connect digital agriculture systems, climate-smart tools, monitoring and decision support</x:v>
      </x:c>
      <x:c r="L104" s="26" t="str">
        <x:v>Federated portal, service catalog, dashboards and integration layer</x:v>
      </x:c>
      <x:c r="M104" s="26" t="str">
        <x:v>Government, farmers, developers, researchers, LGUs and private partners</x:v>
      </x:c>
      <x:c r="N104" s="30" t="str">
        <x:v>Indirect</x:v>
      </x:c>
      <x:c r="O104" s="30" t="str">
        <x:v>Yes</x:v>
      </x:c>
      <x:c r="P104" s="30" t="str">
        <x:v>Indirect</x:v>
      </x:c>
      <x:c r="Q104" s="26" t="str">
        <x:v>Concept / platform development</x:v>
      </x:c>
      <x:c r="R104" s="26" t="str">
        <x:v>Project ongoing / planning</x:v>
      </x:c>
      <x:c r="S104" s="26" t="str">
        <x:v>User-provided context identifies SINAG as a DOST Region III virtual hub and possible digital public-good backbone</x:v>
      </x:c>
      <x:c r="T104" s="26" t="str">
        <x:v>Public-sector convening role and potential common infrastructure</x:v>
      </x:c>
      <x:c r="U104" s="26" t="str">
        <x:v>Avoiding another static portal, unclear mandate, duplicate systems, maintenance and governance</x:v>
      </x:c>
      <x:c r="V104" s="26" t="str">
        <x:v>Should federate metadata, services and consented data rather than centralize all records</x:v>
      </x:c>
      <x:c r="W104" s="26" t="str">
        <x:v>National orchestration, catalog and evidence layer</x:v>
      </x:c>
      <x:c r="X104" s="30" t="str">
        <x:v>High</x:v>
      </x:c>
      <x:c r="Y104" s="26" t="str">
        <x:v>Adopt a federated architecture, open standards, developer onboarding, evidence requirements and long-term product ownership</x:v>
      </x:c>
      <x:c r="Z104" s="32" t="str">
        <x:v>https://region3.dost.gov.ph/</x:v>
      </x:c>
      <x:c r="AA104" s="32"/>
      <x:c r="AB104" s="30" t="str">
        <x:v>2026-07-11</x:v>
      </x:c>
      <x:c r="AC104" s="30" t="str">
        <x:v>Medium</x:v>
      </x:c>
      <x:c r="AD104" s="26" t="str">
        <x:v>Public details should be validated with DOST Region III before external publication.</x:v>
      </x:c>
      <x:c r="AE104" s="26" t="str">
        <x:v>Climate, weather &amp; early warning</x:v>
      </x:c>
      <x:c r="AF104" s="26" t="str">
        <x:v>Climate, weather &amp; early warning; Data infrastructure, interoperability &amp; dashboards</x:v>
      </x:c>
      <x:c r="AG104" s="26" t="str">
        <x:v>Cross-sector</x:v>
      </x:c>
      <x:c r="AH104" s="26" t="str">
        <x:v>Production &amp; farm management</x:v>
      </x:c>
      <x:c r="AI104" s="26" t="str">
        <x:v>Web / portal; Dashboard / analytics</x:v>
      </x:c>
      <x:c r="AJ104" s="30" t="n">
        <x:f>IF(AF104="","",LEN(AF104)-LEN(SUBSTITUTE(AF104,";",""))+1)</x:f>
        <x:v>2</x:v>
      </x:c>
      <x:c r="AK104" s="26" t="str">
        <x:v>Not dedicated</x:v>
      </x:c>
    </x:row>
    <x:row r="105" ht="56" customHeight="1">
      <x:c r="A105" s="26" t="str">
        <x:v>D2-101</x:v>
      </x:c>
      <x:c r="B105" s="26" t="str">
        <x:v>Integrated Farm Attribution for Risk and Resource Monitoring and Management</x:v>
      </x:c>
      <x:c r="C105" s="26" t="str">
        <x:v>iFARM</x:v>
      </x:c>
      <x:c r="D105" s="26" t="str">
        <x:v>Department of Agriculture / DA-BAR / regional field offices</x:v>
      </x:c>
      <x:c r="E105" s="26" t="str">
        <x:v>National–regional government partnership</x:v>
      </x:c>
      <x:c r="F105" s="26" t="str">
        <x:v>Corn initially; cross-sector farm and disaster data</x:v>
      </x:c>
      <x:c r="G105" s="26" t="str">
        <x:v>Pilot Regions II, IV-B, V, VI, X and XII; national verification</x:v>
      </x:c>
      <x:c r="H105" s="26" t="str">
        <x:v>Farm attribution, production monitoring and disaster risk management</x:v>
      </x:c>
      <x:c r="I105" s="26" t="str">
        <x:v>Decision support / public service</x:v>
      </x:c>
      <x:c r="J105" s="26" t="str">
        <x:v>Farm management &amp; decision support</x:v>
      </x:c>
      <x:c r="K105" s="26" t="str">
        <x:v>Real-time farm-level data collection, geo-mapping, risk analytics, climate information and remote sensing</x:v>
      </x:c>
      <x:c r="L105" s="26" t="str">
        <x:v>Web application, geospatial analytics and field verification</x:v>
      </x:c>
      <x:c r="M105" s="26" t="str">
        <x:v>DA, LGUs, extension officers, farmers and associations</x:v>
      </x:c>
      <x:c r="N105" s="30" t="str">
        <x:v>Yes</x:v>
      </x:c>
      <x:c r="O105" s="30" t="str">
        <x:v>Yes</x:v>
      </x:c>
      <x:c r="P105" s="30" t="str">
        <x:v>Indirect</x:v>
      </x:c>
      <x:c r="Q105" s="26" t="str">
        <x:v>Multi-region implementation / national rollout preparation</x:v>
      </x:c>
      <x:c r="R105" s="26" t="str">
        <x:v>Active / expanding</x:v>
      </x:c>
      <x:c r="S105" s="26" t="str">
        <x:v>Pilot implementation in six regions; 2023–2025 verification research and nationwide rollout preparation</x:v>
      </x:c>
      <x:c r="T105" s="26" t="str">
        <x:v>Combines farm attribution, DRRM and regional implementation structures</x:v>
      </x:c>
      <x:c r="U105" s="26" t="str">
        <x:v>Regular updates, LGU/AEO incentives, national data standards, identity matching and sustained ownership</x:v>
      </x:c>
      <x:c r="V105" s="26" t="str">
        <x:v>Internal geospatial, climate and remote-sensing integration is evident; no public API or source repository identified</x:v>
      </x:c>
      <x:c r="W105" s="26" t="str">
        <x:v>Farm-attribution, risk and intervention feed</x:v>
      </x:c>
      <x:c r="X105" s="30" t="str">
        <x:v>High</x:v>
      </x:c>
      <x:c r="Y105" s="26" t="str">
        <x:v>Treat as a priority DA connector; align field, season, loss and intervention schemas with RSBSA and SINAG</x:v>
      </x:c>
      <x:c r="Z105" s="32" t="str">
        <x:v>https://cagayandeoro.da.gov.ph/index.php/agri-10-hosts-natl-training-workshop-on-ifarm-system-to-strengthen-agri-info-and-disaster-preparedness/</x:v>
      </x:c>
      <x:c r="AA105" s="32" t="str"/>
      <x:c r="AB105" s="30" t="str">
        <x:v>2026-07-13</x:v>
      </x:c>
      <x:c r="AC105" s="30" t="str">
        <x:v>High</x:v>
      </x:c>
      <x:c r="AD105" s="26" t="str"/>
      <x:c r="AE105" s="26" t="str">
        <x:v>Climate, weather &amp; early warning; Precision agriculture, EO, drones &amp; IoT; Data infrastructure, interoperability &amp; dashboards</x:v>
      </x:c>
      <x:c r="AF105" s="26" t="str">
        <x:v>Farm management &amp; decision support; Climate, weather &amp; early warning; Precision agriculture, EO, drones &amp; IoT; Data infrastructure, interoperability &amp; dashboards</x:v>
      </x:c>
      <x:c r="AG105" s="26" t="str">
        <x:v>Cross-sector; Corn / maize</x:v>
      </x:c>
      <x:c r="AH105" s="26" t="str">
        <x:v>Production &amp; farm management</x:v>
      </x:c>
      <x:c r="AI105" s="26" t="str">
        <x:v>Web / portal; Dashboard / analytics; GIS / WebGIS; Remote sensing / EO</x:v>
      </x:c>
      <x:c r="AJ105" s="30" t="n">
        <x:f>IF(AF105="","",LEN(AF105)-LEN(SUBSTITUTE(AF105,";",""))+1)</x:f>
        <x:v>4</x:v>
      </x:c>
      <x:c r="AK105" s="26" t="str">
        <x:v>Not dedicated</x:v>
      </x:c>
    </x:row>
    <x:row r="106" ht="56" customHeight="1">
      <x:c r="A106" s="26" t="str">
        <x:v>D2-102</x:v>
      </x:c>
      <x:c r="B106" s="26" t="str">
        <x:v>Automated Water Level Monitoring System Philippines</x:v>
      </x:c>
      <x:c r="C106" s="26" t="str">
        <x:v>AutoMonPH</x:v>
      </x:c>
      <x:c r="D106" s="26" t="str">
        <x:v>IRRI, DA-PhilRice and Department of Agriculture</x:v>
      </x:c>
      <x:c r="E106" s="26" t="str">
        <x:v>Government–international research partnership</x:v>
      </x:c>
      <x:c r="F106" s="26" t="str">
        <x:v>Rice irrigation and low-carbon production</x:v>
      </x:c>
      <x:c r="G106" s="26" t="str">
        <x:v>Philippines / national scaling intent</x:v>
      </x:c>
      <x:c r="H106" s="26" t="str">
        <x:v>Irrigation scheduling, AWD verification and carbon-footprint monitoring</x:v>
      </x:c>
      <x:c r="I106" s="26" t="str">
        <x:v>Agricultural automation / smart farming</x:v>
      </x:c>
      <x:c r="J106" s="26" t="str">
        <x:v>Precision agriculture, EO, drones &amp; IoT</x:v>
      </x:c>
      <x:c r="K106" s="26" t="str">
        <x:v>IoT decision support for water-level monitoring, irrigation scheduling, AWD verification and carbon labeling</x:v>
      </x:c>
      <x:c r="L106" s="26" t="str">
        <x:v>Water-level sensors, wireless communications and web platform</x:v>
      </x:c>
      <x:c r="M106" s="26" t="str">
        <x:v>Farmers, irrigation managers, government and agribusiness</x:v>
      </x:c>
      <x:c r="N106" s="30" t="str">
        <x:v>Yes</x:v>
      </x:c>
      <x:c r="O106" s="30" t="str">
        <x:v>Yes</x:v>
      </x:c>
      <x:c r="P106" s="30" t="str">
        <x:v>Yes</x:v>
      </x:c>
      <x:c r="Q106" s="26" t="str">
        <x:v>Commercial-stage / broad local use reported by FAO DVI</x:v>
      </x:c>
      <x:c r="R106" s="26" t="str">
        <x:v>Active / operational</x:v>
      </x:c>
      <x:c r="S106" s="26" t="str">
        <x:v>FAO DVI classifies the solution at commercial stage with nationwide geographic scope</x:v>
      </x:c>
      <x:c r="T106" s="26" t="str">
        <x:v>Links real-time field sensing with AWD management and multi-stakeholder verification</x:v>
      </x:c>
      <x:c r="U106" s="26" t="str">
        <x:v>Sensor maintenance, connectivity, calibration, costs, data ownership and integration with irrigation operations</x:v>
      </x:c>
      <x:c r="V106" s="26" t="str">
        <x:v>Sensor-to-server architecture and stakeholder information sharing are documented; public API and code are not</x:v>
      </x:c>
      <x:c r="W106" s="26" t="str">
        <x:v>Water-management, AWD and MRV sensor feed</x:v>
      </x:c>
      <x:c r="X106" s="30" t="str">
        <x:v>High</x:v>
      </x:c>
      <x:c r="Y106" s="26" t="str">
        <x:v>Standardize sensor observations, field IDs, calibration, AWD rules and carbon/MRV event exchange</x:v>
      </x:c>
      <x:c r="Z106" s="32" t="str">
        <x:v>https://dvi-ke.fao.org/digital_solutions_details.php?id=639</x:v>
      </x:c>
      <x:c r="AA106" s="32" t="str">
        <x:v>https://www.philrice.gov.ph/philrice-develops-real-time-water-monitoring-system/</x:v>
      </x:c>
      <x:c r="AB106" s="30" t="str">
        <x:v>2026-07-13</x:v>
      </x:c>
      <x:c r="AC106" s="30" t="str">
        <x:v>High</x:v>
      </x:c>
      <x:c r="AD106" s="26" t="str"/>
      <x:c r="AE106" s="26" t="str">
        <x:v>Traceability, food safety &amp; MRV</x:v>
      </x:c>
      <x:c r="AF106" s="26" t="str">
        <x:v>Precision agriculture, EO, drones &amp; IoT; Traceability, food safety &amp; MRV</x:v>
      </x:c>
      <x:c r="AG106" s="26" t="str">
        <x:v>Rice / palay</x:v>
      </x:c>
      <x:c r="AH106" s="26" t="str">
        <x:v>Production &amp; farm management; Irrigation &amp; water management</x:v>
      </x:c>
      <x:c r="AI106" s="26" t="str">
        <x:v>Web / portal; IoT / sensors</x:v>
      </x:c>
      <x:c r="AJ106" s="30" t="n">
        <x:f>IF(AF106="","",LEN(AF106)-LEN(SUBSTITUTE(AF106,";",""))+1)</x:f>
        <x:v>2</x:v>
      </x:c>
      <x:c r="AK106" s="26" t="str">
        <x:v>Not dedicated</x:v>
      </x:c>
    </x:row>
    <x:row r="107" ht="56" customHeight="1">
      <x:c r="A107" s="26" t="str">
        <x:v>D2-103</x:v>
      </x:c>
      <x:c r="B107" s="26" t="str">
        <x:v>Rice Seed Information System</x:v>
      </x:c>
      <x:c r="C107" s="26" t="str">
        <x:v>RSIS</x:v>
      </x:c>
      <x:c r="D107" s="26" t="str">
        <x:v>Department of Agriculture, BPI, DA-PhilRice, DA-BAR and regional offices</x:v>
      </x:c>
      <x:c r="E107" s="26" t="str">
        <x:v>National government partnership</x:v>
      </x:c>
      <x:c r="F107" s="26" t="str">
        <x:v>Rice seed industry</x:v>
      </x:c>
      <x:c r="G107" s="26" t="str">
        <x:v>National</x:v>
      </x:c>
      <x:c r="H107" s="26" t="str">
        <x:v>Seed certification, production, inventory, ordering and distribution</x:v>
      </x:c>
      <x:c r="I107" s="26" t="str">
        <x:v>Decision support / public service</x:v>
      </x:c>
      <x:c r="J107" s="26" t="str">
        <x:v>Inputs, seed &amp; nutrient tools</x:v>
      </x:c>
      <x:c r="K107" s="26" t="str">
        <x:v>Integrated digital ecosystem for rice seed certification, monitoring, availability, ordering and traceability</x:v>
      </x:c>
      <x:c r="L107" s="26" t="str">
        <x:v>Web portal, dashboards, mobile/field apps and linked subsystems</x:v>
      </x:c>
      <x:c r="M107" s="26" t="str">
        <x:v>Seed growers, inspectors, laboratories, warehouses, buyers and agencies</x:v>
      </x:c>
      <x:c r="N107" s="30" t="str">
        <x:v>Yes</x:v>
      </x:c>
      <x:c r="O107" s="30" t="str">
        <x:v>Yes</x:v>
      </x:c>
      <x:c r="P107" s="30" t="str">
        <x:v>Indirect</x:v>
      </x:c>
      <x:c r="Q107" s="26" t="str">
        <x:v>Institutionalized / nationwide rollout</x:v>
      </x:c>
      <x:c r="R107" s="26" t="str">
        <x:v>Active / operational</x:v>
      </x:c>
      <x:c r="S107" s="26" t="str">
        <x:v>Enhanced system was rolled out nationally in 2025</x:v>
      </x:c>
      <x:c r="T107" s="26" t="str">
        <x:v>Explicit integration of certification, inspection, analysis, tagging, field and distribution processes</x:v>
      </x:c>
      <x:c r="U107" s="26" t="str">
        <x:v>Cross-agency master data, user support, data quality, rural connectivity and public interface consistency</x:v>
      </x:c>
      <x:c r="V107" s="26" t="str">
        <x:v>Multiple subsystems and data sources are explicitly integrated; no public API or source-code repository found</x:v>
      </x:c>
      <x:c r="W107" s="26" t="str">
        <x:v>National seed identity, inventory and traceability backbone</x:v>
      </x:c>
      <x:c r="X107" s="30" t="str">
        <x:v>High</x:v>
      </x:c>
      <x:c r="Y107" s="26" t="str">
        <x:v>Prioritize secure API/status exchange and common seed-lot, variety, certification, warehouse and order identifiers</x:v>
      </x:c>
      <x:c r="Z107" s="32" t="str">
        <x:v>https://rsis.philrice.gov.ph/portal/</x:v>
      </x:c>
      <x:c r="AA107" s="32" t="str">
        <x:v>https://www.philrice.gov.ph/da-philrice-bpi-roll-out-enhanced-rice-seed-information-system-nationwide/</x:v>
      </x:c>
      <x:c r="AB107" s="30" t="str">
        <x:v>2026-07-13</x:v>
      </x:c>
      <x:c r="AC107" s="30" t="str">
        <x:v>High</x:v>
      </x:c>
      <x:c r="AD107" s="26" t="str"/>
      <x:c r="AE107" s="26" t="str">
        <x:v>Registry &amp; digital identity; Markets, e-commerce &amp; logistics; Traceability, food safety &amp; MRV; Data infrastructure, interoperability &amp; dashboards</x:v>
      </x:c>
      <x:c r="AF107" s="26" t="str">
        <x:v>Registry &amp; digital identity; Inputs, seed &amp; nutrient tools; Markets, e-commerce &amp; logistics; Traceability, food safety &amp; MRV; Data infrastructure, interoperability &amp; dashboards</x:v>
      </x:c>
      <x:c r="AG107" s="26" t="str">
        <x:v>Rice / palay; Seeds / germplasm / breeds</x:v>
      </x:c>
      <x:c r="AH107" s="26" t="str">
        <x:v>Inputs, seed &amp; feed; Production &amp; farm management; Logistics &amp; distribution; Markets &amp; trade; Traceability, compliance &amp; MRV</x:v>
      </x:c>
      <x:c r="AI107" s="26" t="str">
        <x:v>Web / portal; Mobile / Android; Database / MIS; Dashboard / analytics</x:v>
      </x:c>
      <x:c r="AJ107" s="30" t="n">
        <x:f>IF(AF107="","",LEN(AF107)-LEN(SUBSTITUTE(AF107,";",""))+1)</x:f>
        <x:v>5</x:v>
      </x:c>
      <x:c r="AK107" s="26" t="str">
        <x:v>Not dedicated</x:v>
      </x:c>
    </x:row>
    <x:row r="108" ht="56" customHeight="1">
      <x:c r="A108" s="26" t="str">
        <x:v>D2-104</x:v>
      </x:c>
      <x:c r="B108" s="26" t="str">
        <x:v>RSIS GrowApp / Application for Seed Certification</x:v>
      </x:c>
      <x:c r="C108" s="26" t="str">
        <x:v>GrowApp</x:v>
      </x:c>
      <x:c r="D108" s="26" t="str">
        <x:v>BPI-NSQCS and DA-PhilRice under RSIS</x:v>
      </x:c>
      <x:c r="E108" s="26" t="str">
        <x:v>National government partnership</x:v>
      </x:c>
      <x:c r="F108" s="26" t="str">
        <x:v>Rice seed</x:v>
      </x:c>
      <x:c r="G108" s="26" t="str">
        <x:v>National</x:v>
      </x:c>
      <x:c r="H108" s="26" t="str">
        <x:v>Seed certification application and field data capture</x:v>
      </x:c>
      <x:c r="I108" s="26" t="str">
        <x:v>Decision support / public service</x:v>
      </x:c>
      <x:c r="J108" s="26" t="str">
        <x:v>Inputs, seed &amp; nutrient tools</x:v>
      </x:c>
      <x:c r="K108" s="26" t="str">
        <x:v>Captures and manages applications and field data for rice seed certification</x:v>
      </x:c>
      <x:c r="L108" s="26" t="str">
        <x:v>Android app / APK and RSIS subsystem</x:v>
      </x:c>
      <x:c r="M108" s="26" t="str">
        <x:v>Seed growers, inspectors and certification personnel</x:v>
      </x:c>
      <x:c r="N108" s="30" t="str">
        <x:v>Yes</x:v>
      </x:c>
      <x:c r="O108" s="30" t="str">
        <x:v>Indirect</x:v>
      </x:c>
      <x:c r="P108" s="30" t="str">
        <x:v>No</x:v>
      </x:c>
      <x:c r="Q108" s="26" t="str">
        <x:v>Operational subsystem</x:v>
      </x:c>
      <x:c r="R108" s="26" t="str">
        <x:v>Active / operational</x:v>
      </x:c>
      <x:c r="S108" s="26" t="str">
        <x:v>GrowApp v3.13 is distributed through the official RSIS downloads page</x:v>
      </x:c>
      <x:c r="T108" s="26" t="str">
        <x:v>Directly embedded in a national certification workflow</x:v>
      </x:c>
      <x:c r="U108" s="26" t="str">
        <x:v>Version management, device support, offline synchronization and duplicate encoding</x:v>
      </x:c>
      <x:c r="V108" s="26" t="str">
        <x:v>Integrated with RSIS; APK is public, but source code, API documentation and license are not</x:v>
      </x:c>
      <x:c r="W108" s="26" t="str">
        <x:v>Field certification data-capture module</x:v>
      </x:c>
      <x:c r="X108" s="30" t="str">
        <x:v>High</x:v>
      </x:c>
      <x:c r="Y108" s="26" t="str">
        <x:v>Use RSIS-managed integration rather than a separate SINAG copy; require export and synchronization specifications</x:v>
      </x:c>
      <x:c r="Z108" s="32" t="str">
        <x:v>https://rsis.philrice.gov.ph/portal/downloads</x:v>
      </x:c>
      <x:c r="AA108" s="32" t="str">
        <x:v>https://rsis.philrice.gov.ph/portal/</x:v>
      </x:c>
      <x:c r="AB108" s="30" t="str">
        <x:v>2026-07-13</x:v>
      </x:c>
      <x:c r="AC108" s="30" t="str">
        <x:v>High</x:v>
      </x:c>
      <x:c r="AD108" s="26" t="str"/>
      <x:c r="AE108" s="26" t="str">
        <x:v>Traceability, food safety &amp; MRV</x:v>
      </x:c>
      <x:c r="AF108" s="26" t="str">
        <x:v>Inputs, seed &amp; nutrient tools; Traceability, food safety &amp; MRV</x:v>
      </x:c>
      <x:c r="AG108" s="26" t="str">
        <x:v>Rice / palay; Seeds / germplasm / breeds</x:v>
      </x:c>
      <x:c r="AH108" s="26" t="str">
        <x:v>Inputs, seed &amp; feed; Traceability, compliance &amp; MRV</x:v>
      </x:c>
      <x:c r="AI108" s="26" t="str">
        <x:v>Mobile / Android</x:v>
      </x:c>
      <x:c r="AJ108" s="30" t="n">
        <x:f>IF(AF108="","",LEN(AF108)-LEN(SUBSTITUTE(AF108,";",""))+1)</x:f>
        <x:v>2</x:v>
      </x:c>
      <x:c r="AK108" s="26" t="str">
        <x:v>Not dedicated</x:v>
      </x:c>
    </x:row>
    <x:row r="109" ht="56" customHeight="1">
      <x:c r="A109" s="26" t="str">
        <x:v>D2-105</x:v>
      </x:c>
      <x:c r="B109" s="26" t="str">
        <x:v>RSIS Seed Inspector Application</x:v>
      </x:c>
      <x:c r="C109" s="26" t="str">
        <x:v>Seed Inspector App</x:v>
      </x:c>
      <x:c r="D109" s="26" t="str">
        <x:v>BPI-NSQCS and DA-PhilRice under RSIS</x:v>
      </x:c>
      <x:c r="E109" s="26" t="str">
        <x:v>National government partnership</x:v>
      </x:c>
      <x:c r="F109" s="26" t="str">
        <x:v>Rice seed</x:v>
      </x:c>
      <x:c r="G109" s="26" t="str">
        <x:v>National</x:v>
      </x:c>
      <x:c r="H109" s="26" t="str">
        <x:v>Preliminary and final seed-field inspection</x:v>
      </x:c>
      <x:c r="I109" s="26" t="str">
        <x:v>Decision support / public service</x:v>
      </x:c>
      <x:c r="J109" s="26" t="str">
        <x:v>Inputs, seed &amp; nutrient tools</x:v>
      </x:c>
      <x:c r="K109" s="26" t="str">
        <x:v>Supports inspection records and certification decisions within the rice seed system</x:v>
      </x:c>
      <x:c r="L109" s="26" t="str">
        <x:v>Mobile/field application and RSIS subsystem</x:v>
      </x:c>
      <x:c r="M109" s="26" t="str">
        <x:v>Seed inspectors, BPI and seed growers</x:v>
      </x:c>
      <x:c r="N109" s="30" t="str">
        <x:v>Yes</x:v>
      </x:c>
      <x:c r="O109" s="30" t="str">
        <x:v>Indirect</x:v>
      </x:c>
      <x:c r="P109" s="30" t="str">
        <x:v>No</x:v>
      </x:c>
      <x:c r="Q109" s="26" t="str">
        <x:v>Operational subsystem</x:v>
      </x:c>
      <x:c r="R109" s="26" t="str">
        <x:v>Active / operational</x:v>
      </x:c>
      <x:c r="S109" s="26" t="str">
        <x:v>Listed among the official data sources feeding the RSIS dashboard</x:v>
      </x:c>
      <x:c r="T109" s="26" t="str">
        <x:v>Connects field inspection to national seed certification</x:v>
      </x:c>
      <x:c r="U109" s="26" t="str">
        <x:v>Inspection consistency, offline workflows, auditability and support</x:v>
      </x:c>
      <x:c r="V109" s="26" t="str">
        <x:v>Internal RSIS integration is documented; public source, APIs and export formats are not</x:v>
      </x:c>
      <x:c r="W109" s="26" t="str">
        <x:v>Seed inspection and credential feed</x:v>
      </x:c>
      <x:c r="X109" s="30" t="str">
        <x:v>High</x:v>
      </x:c>
      <x:c r="Y109" s="26" t="str">
        <x:v>Exchange only verified inspection status and traceable seed-lot identifiers through RSIS</x:v>
      </x:c>
      <x:c r="Z109" s="32" t="str">
        <x:v>https://rsis.philrice.gov.ph/portal/dashboard</x:v>
      </x:c>
      <x:c r="AA109" s="32" t="str">
        <x:v>https://rsis.philrice.gov.ph/portal/</x:v>
      </x:c>
      <x:c r="AB109" s="30" t="str">
        <x:v>2026-07-13</x:v>
      </x:c>
      <x:c r="AC109" s="30" t="str">
        <x:v>High</x:v>
      </x:c>
      <x:c r="AD109" s="26" t="str"/>
      <x:c r="AE109" s="26" t="str">
        <x:v>Registry &amp; digital identity; Traceability, food safety &amp; MRV</x:v>
      </x:c>
      <x:c r="AF109" s="26" t="str">
        <x:v>Registry &amp; digital identity; Inputs, seed &amp; nutrient tools; Traceability, food safety &amp; MRV</x:v>
      </x:c>
      <x:c r="AG109" s="26" t="str">
        <x:v>Rice / palay; Seeds / germplasm / breeds</x:v>
      </x:c>
      <x:c r="AH109" s="26" t="str">
        <x:v>Inputs, seed &amp; feed; Traceability, compliance &amp; MRV</x:v>
      </x:c>
      <x:c r="AI109" s="26" t="str">
        <x:v>Mobile / Android</x:v>
      </x:c>
      <x:c r="AJ109" s="30" t="n">
        <x:f>IF(AF109="","",LEN(AF109)-LEN(SUBSTITUTE(AF109,";",""))+1)</x:f>
        <x:v>3</x:v>
      </x:c>
      <x:c r="AK109" s="26" t="str">
        <x:v>Not dedicated</x:v>
      </x:c>
    </x:row>
    <x:row r="110" ht="56" customHeight="1">
      <x:c r="A110" s="26" t="str">
        <x:v>D2-106</x:v>
      </x:c>
      <x:c r="B110" s="26" t="str">
        <x:v>RSIS Warehouse Online System</x:v>
      </x:c>
      <x:c r="C110" s="26" t="str">
        <x:v>Warehouse Online System</x:v>
      </x:c>
      <x:c r="D110" s="26" t="str">
        <x:v>Department of Agriculture partners under RSIS</x:v>
      </x:c>
      <x:c r="E110" s="26" t="str">
        <x:v>National government partnership</x:v>
      </x:c>
      <x:c r="F110" s="26" t="str">
        <x:v>Rice seed</x:v>
      </x:c>
      <x:c r="G110" s="26" t="str">
        <x:v>National</x:v>
      </x:c>
      <x:c r="H110" s="26" t="str">
        <x:v>Seed inventory and warehousing</x:v>
      </x:c>
      <x:c r="I110" s="26" t="str">
        <x:v>Decision support / public service</x:v>
      </x:c>
      <x:c r="J110" s="26" t="str">
        <x:v>Inputs, seed &amp; nutrient tools</x:v>
      </x:c>
      <x:c r="K110" s="26" t="str">
        <x:v>Manages warehouse and rice seed inventory data used by the RSIS dashboard</x:v>
      </x:c>
      <x:c r="L110" s="26" t="str">
        <x:v>Web subsystem and database</x:v>
      </x:c>
      <x:c r="M110" s="26" t="str">
        <x:v>Warehouses, seed program managers and agencies</x:v>
      </x:c>
      <x:c r="N110" s="30" t="str">
        <x:v>Yes</x:v>
      </x:c>
      <x:c r="O110" s="30" t="str">
        <x:v>Indirect</x:v>
      </x:c>
      <x:c r="P110" s="30" t="str">
        <x:v>No</x:v>
      </x:c>
      <x:c r="Q110" s="26" t="str">
        <x:v>Operational subsystem</x:v>
      </x:c>
      <x:c r="R110" s="26" t="str">
        <x:v>Active / operational</x:v>
      </x:c>
      <x:c r="S110" s="26" t="str">
        <x:v>Named as an official RSIS dashboard data source</x:v>
      </x:c>
      <x:c r="T110" s="26" t="str">
        <x:v>Links physical seed stocks with national information services</x:v>
      </x:c>
      <x:c r="U110" s="26" t="str">
        <x:v>Inventory freshness, lot reconciliation, warehouse identifiers and transaction audit</x:v>
      </x:c>
      <x:c r="V110" s="26" t="str">
        <x:v>Integrated into RSIS; no public API, source code or machine-readable export documentation found</x:v>
      </x:c>
      <x:c r="W110" s="26" t="str">
        <x:v>Seed inventory feed</x:v>
      </x:c>
      <x:c r="X110" s="30" t="str">
        <x:v>High</x:v>
      </x:c>
      <x:c r="Y110" s="26" t="str">
        <x:v>Adopt seed-lot and warehouse IDs and expose controlled availability/status feeds through RSIS</x:v>
      </x:c>
      <x:c r="Z110" s="32" t="str">
        <x:v>https://rsis.philrice.gov.ph/portal/dashboard</x:v>
      </x:c>
      <x:c r="AA110" s="32" t="str">
        <x:v>https://rsis.philrice.gov.ph/portal/</x:v>
      </x:c>
      <x:c r="AB110" s="30" t="str">
        <x:v>2026-07-13</x:v>
      </x:c>
      <x:c r="AC110" s="30" t="str">
        <x:v>High</x:v>
      </x:c>
      <x:c r="AD110" s="26" t="str"/>
      <x:c r="AE110" s="26" t="str">
        <x:v>Data infrastructure, interoperability &amp; dashboards</x:v>
      </x:c>
      <x:c r="AF110" s="26" t="str">
        <x:v>Inputs, seed &amp; nutrient tools; Data infrastructure, interoperability &amp; dashboards</x:v>
      </x:c>
      <x:c r="AG110" s="26" t="str">
        <x:v>Rice / palay; Seeds / germplasm / breeds</x:v>
      </x:c>
      <x:c r="AH110" s="26" t="str">
        <x:v>Inputs, seed &amp; feed; Harvest &amp; postharvest</x:v>
      </x:c>
      <x:c r="AI110" s="26" t="str">
        <x:v>Web / portal; Database / MIS; Dashboard / analytics</x:v>
      </x:c>
      <x:c r="AJ110" s="30" t="n">
        <x:f>IF(AF110="","",LEN(AF110)-LEN(SUBSTITUTE(AF110,";",""))+1)</x:f>
        <x:v>2</x:v>
      </x:c>
      <x:c r="AK110" s="26" t="str">
        <x:v>Not dedicated</x:v>
      </x:c>
    </x:row>
    <x:row r="111" ht="56" customHeight="1">
      <x:c r="A111" s="26" t="str">
        <x:v>D2-107</x:v>
      </x:c>
      <x:c r="B111" s="26" t="str">
        <x:v>RSIS Online Seed Ordering System</x:v>
      </x:c>
      <x:c r="C111" s="26" t="str">
        <x:v>Seed Ordering System</x:v>
      </x:c>
      <x:c r="D111" s="26" t="str">
        <x:v>Department of Agriculture partners under RSIS</x:v>
      </x:c>
      <x:c r="E111" s="26" t="str">
        <x:v>National government partnership</x:v>
      </x:c>
      <x:c r="F111" s="26" t="str">
        <x:v>Rice seed</x:v>
      </x:c>
      <x:c r="G111" s="26" t="str">
        <x:v>National</x:v>
      </x:c>
      <x:c r="H111" s="26" t="str">
        <x:v>Seed ordering and distribution</x:v>
      </x:c>
      <x:c r="I111" s="26" t="str">
        <x:v>E-commerce</x:v>
      </x:c>
      <x:c r="J111" s="26" t="str">
        <x:v>Inputs, seed &amp; nutrient tools</x:v>
      </x:c>
      <x:c r="K111" s="26" t="str">
        <x:v>Supports online ordering and distribution workflows for rice seed</x:v>
      </x:c>
      <x:c r="L111" s="26" t="str">
        <x:v>Web ordering subsystem</x:v>
      </x:c>
      <x:c r="M111" s="26" t="str">
        <x:v>Farmers, FCAs, seed buyers, suppliers and program managers</x:v>
      </x:c>
      <x:c r="N111" s="30" t="str">
        <x:v>Yes</x:v>
      </x:c>
      <x:c r="O111" s="30" t="str">
        <x:v>Indirect</x:v>
      </x:c>
      <x:c r="P111" s="30" t="str">
        <x:v>No</x:v>
      </x:c>
      <x:c r="Q111" s="26" t="str">
        <x:v>Operational subsystem</x:v>
      </x:c>
      <x:c r="R111" s="26" t="str">
        <x:v>Active / operational</x:v>
      </x:c>
      <x:c r="S111" s="26" t="str">
        <x:v>Prominently linked from the official RSIS portal and dashboard ecosystem</x:v>
      </x:c>
      <x:c r="T111" s="26" t="str">
        <x:v>Connects verified seed information with transactions</x:v>
      </x:c>
      <x:c r="U111" s="26" t="str">
        <x:v>Inventory accuracy, fulfillment, payment/logistics linkage and equitable access</x:v>
      </x:c>
      <x:c r="V111" s="26" t="str">
        <x:v>Part of RSIS; no public API, source code or order-export specification located</x:v>
      </x:c>
      <x:c r="W111" s="26" t="str">
        <x:v>Seed order and fulfillment connector</x:v>
      </x:c>
      <x:c r="X111" s="30" t="str">
        <x:v>High</x:v>
      </x:c>
      <x:c r="Y111" s="26" t="str">
        <x:v>Integrate via verified availability, order status and fulfillment events rather than duplicating the marketplace</x:v>
      </x:c>
      <x:c r="Z111" s="32" t="str">
        <x:v>https://rsis.philrice.gov.ph/portal/</x:v>
      </x:c>
      <x:c r="AA111" s="32" t="str">
        <x:v>https://rsis.philrice.gov.ph/portal/dashboard</x:v>
      </x:c>
      <x:c r="AB111" s="30" t="str">
        <x:v>2026-07-13</x:v>
      </x:c>
      <x:c r="AC111" s="30" t="str">
        <x:v>High</x:v>
      </x:c>
      <x:c r="AD111" s="26" t="str"/>
      <x:c r="AE111" s="26" t="str">
        <x:v>Markets, e-commerce &amp; logistics</x:v>
      </x:c>
      <x:c r="AF111" s="26" t="str">
        <x:v>Inputs, seed &amp; nutrient tools; Markets, e-commerce &amp; logistics</x:v>
      </x:c>
      <x:c r="AG111" s="26" t="str">
        <x:v>Rice / palay; Seeds / germplasm / breeds</x:v>
      </x:c>
      <x:c r="AH111" s="26" t="str">
        <x:v>Inputs, seed &amp; feed; Logistics &amp; distribution; Markets &amp; trade</x:v>
      </x:c>
      <x:c r="AI111" s="26" t="str">
        <x:v>Web / portal</x:v>
      </x:c>
      <x:c r="AJ111" s="30" t="n">
        <x:f>IF(AF111="","",LEN(AF111)-LEN(SUBSTITUTE(AF111,";",""))+1)</x:f>
        <x:v>2</x:v>
      </x:c>
      <x:c r="AK111" s="26" t="str">
        <x:v>Not dedicated</x:v>
      </x:c>
    </x:row>
    <x:row r="112" ht="56" customHeight="1">
      <x:c r="A112" s="26" t="str">
        <x:v>D2-108</x:v>
      </x:c>
      <x:c r="B112" s="26" t="str">
        <x:v>Rice Development Interventions Monitoring System</x:v>
      </x:c>
      <x:c r="C112" s="26" t="str">
        <x:v>RiceDIMS</x:v>
      </x:c>
      <x:c r="D112" s="26" t="str">
        <x:v>DA-PhilRice / Department of Agriculture</x:v>
      </x:c>
      <x:c r="E112" s="26" t="str">
        <x:v>National research institute / government</x:v>
      </x:c>
      <x:c r="F112" s="26" t="str">
        <x:v>Rice</x:v>
      </x:c>
      <x:c r="G112" s="26" t="str">
        <x:v>National</x:v>
      </x:c>
      <x:c r="H112" s="26" t="str">
        <x:v>Program and intervention monitoring</x:v>
      </x:c>
      <x:c r="I112" s="26" t="str">
        <x:v>Decision support / public service</x:v>
      </x:c>
      <x:c r="J112" s="26" t="str">
        <x:v>Data infrastructure, interoperability &amp; dashboards</x:v>
      </x:c>
      <x:c r="K112" s="26" t="str">
        <x:v>Organizes rice interventions covering production support, extension, finance, facilities, infrastructure and machinery</x:v>
      </x:c>
      <x:c r="L112" s="26" t="str">
        <x:v>Web information system and dashboard</x:v>
      </x:c>
      <x:c r="M112" s="26" t="str">
        <x:v>Rice program managers, agencies and implementers</x:v>
      </x:c>
      <x:c r="N112" s="30" t="str">
        <x:v>Indirect</x:v>
      </x:c>
      <x:c r="O112" s="30" t="str">
        <x:v>Indirect</x:v>
      </x:c>
      <x:c r="P112" s="30" t="str">
        <x:v>Indirect</x:v>
      </x:c>
      <x:c r="Q112" s="26" t="str">
        <x:v>Operational</x:v>
      </x:c>
      <x:c r="R112" s="26" t="str">
        <x:v>Active / operational</x:v>
      </x:c>
      <x:c r="S112" s="26" t="str">
        <x:v>Public RiceDIMS web system is accessible</x:v>
      </x:c>
      <x:c r="T112" s="26" t="str">
        <x:v>Cross-program view of major rice-development interventions</x:v>
      </x:c>
      <x:c r="U112" s="26" t="str">
        <x:v>Current data coverage, duplication with other MIS, outcomes and accountable data ownership</x:v>
      </x:c>
      <x:c r="V112" s="26" t="str">
        <x:v>Web access is public; no official source repository, API or export documentation identified</x:v>
      </x:c>
      <x:c r="W112" s="26" t="str">
        <x:v>Rice-program and intervention feed</x:v>
      </x:c>
      <x:c r="X112" s="30" t="str">
        <x:v>High</x:v>
      </x:c>
      <x:c r="Y112" s="26" t="str">
        <x:v>Map interventions to common beneficiary, location, season, asset and outcome identifiers</x:v>
      </x:c>
      <x:c r="Z112" s="32" t="str">
        <x:v>https://ricedims.philrice.gov.ph/</x:v>
      </x:c>
      <x:c r="AA112" s="32" t="str">
        <x:v>https://www.philrice.gov.ph/rice-apps/</x:v>
      </x:c>
      <x:c r="AB112" s="30" t="str">
        <x:v>2026-07-13</x:v>
      </x:c>
      <x:c r="AC112" s="30" t="str">
        <x:v>High</x:v>
      </x:c>
      <x:c r="AD112" s="26" t="str"/>
      <x:c r="AE112" s="26" t="str">
        <x:v>Mechanization &amp; equipment-as-a-service; Finance, insurance &amp; payments</x:v>
      </x:c>
      <x:c r="AF112" s="26" t="str">
        <x:v>Mechanization &amp; equipment-as-a-service; Finance, insurance &amp; payments; Data infrastructure, interoperability &amp; dashboards</x:v>
      </x:c>
      <x:c r="AG112" s="26" t="str">
        <x:v>Rice / palay</x:v>
      </x:c>
      <x:c r="AH112" s="26" t="str">
        <x:v>Production &amp; farm management; Finance, insurance &amp; payments; Extension, training &amp; support; Policy, planning &amp; program monitoring</x:v>
      </x:c>
      <x:c r="AI112" s="26" t="str">
        <x:v>Web / portal; Database / MIS; Dashboard / analytics</x:v>
      </x:c>
      <x:c r="AJ112" s="30" t="n">
        <x:f>IF(AF112="","",LEN(AF112)-LEN(SUBSTITUTE(AF112,";",""))+1)</x:f>
        <x:v>3</x:v>
      </x:c>
      <x:c r="AK112" s="26" t="str">
        <x:v>Not dedicated</x:v>
      </x:c>
    </x:row>
    <x:row r="113" ht="56" customHeight="1">
      <x:c r="A113" s="26" t="str">
        <x:v>D2-109</x:v>
      </x:c>
      <x:c r="B113" s="26" t="str">
        <x:v>Oryza GEMS / GeneLytics</x:v>
      </x:c>
      <x:c r="C113" s="26" t="str">
        <x:v>Oryza GEMS</x:v>
      </x:c>
      <x:c r="D113" s="26" t="str">
        <x:v>DA-PhilRice and rice germplasm partners</x:v>
      </x:c>
      <x:c r="E113" s="26" t="str">
        <x:v>National research institute / international data partnership</x:v>
      </x:c>
      <x:c r="F113" s="26" t="str">
        <x:v>Rice germplasm and breeding</x:v>
      </x:c>
      <x:c r="G113" s="26" t="str">
        <x:v>Philippines with international germplasm links</x:v>
      </x:c>
      <x:c r="H113" s="26" t="str">
        <x:v>Breeding research and germplasm analytics</x:v>
      </x:c>
      <x:c r="I113" s="26" t="str">
        <x:v>Decision support / computer-enabled systems</x:v>
      </x:c>
      <x:c r="J113" s="26" t="str">
        <x:v>Data infrastructure, interoperability &amp; dashboards</x:v>
      </x:c>
      <x:c r="K113" s="26" t="str">
        <x:v>Visualizes, explores and analyzes rice germplasm data for parental selection and pre-breeding</x:v>
      </x:c>
      <x:c r="L113" s="26" t="str">
        <x:v>Web analytics platform and linked germplasm databases</x:v>
      </x:c>
      <x:c r="M113" s="26" t="str">
        <x:v>Breeders, geneticists and researchers</x:v>
      </x:c>
      <x:c r="N113" s="30" t="str">
        <x:v>Indirect</x:v>
      </x:c>
      <x:c r="O113" s="30" t="str">
        <x:v>Yes</x:v>
      </x:c>
      <x:c r="P113" s="30" t="str">
        <x:v>Indirect</x:v>
      </x:c>
      <x:c r="Q113" s="26" t="str">
        <x:v>Operational / research infrastructure</x:v>
      </x:c>
      <x:c r="R113" s="26" t="str">
        <x:v>Active / operational</x:v>
      </x:c>
      <x:c r="S113" s="26" t="str">
        <x:v>Public GeneLytics/Oryza GEMS interface is available</x:v>
      </x:c>
      <x:c r="T113" s="26" t="str">
        <x:v>Specialized integration of germplasm and analytical data</x:v>
      </x:c>
      <x:c r="U113" s="26" t="str">
        <x:v>Metadata harmonization, data licensing, provenance and long-term research infrastructure support</x:v>
      </x:c>
      <x:c r="V113" s="26" t="str">
        <x:v>Linked germplasm data are evident; API and source-code documentation were not located publicly</x:v>
      </x:c>
      <x:c r="W113" s="26" t="str">
        <x:v>Breeding and germplasm analytics source</x:v>
      </x:c>
      <x:c r="X113" s="30" t="str">
        <x:v>Medium</x:v>
      </x:c>
      <x:c r="Y113" s="26" t="str">
        <x:v>Federate metadata and stable accession/variety identifiers; preserve licensing and provenance</x:v>
      </x:c>
      <x:c r="Z113" s="32" t="str">
        <x:v>https://genelytics.philrice.gov.ph/</x:v>
      </x:c>
      <x:c r="AA113" s="32" t="str">
        <x:v>https://www.philrice.gov.ph/rice-apps/</x:v>
      </x:c>
      <x:c r="AB113" s="30" t="str">
        <x:v>2026-07-13</x:v>
      </x:c>
      <x:c r="AC113" s="30" t="str">
        <x:v>High</x:v>
      </x:c>
      <x:c r="AD113" s="26" t="str"/>
      <x:c r="AE113" s="26" t="str">
        <x:v>Inputs, seed &amp; nutrient tools</x:v>
      </x:c>
      <x:c r="AF113" s="26" t="str">
        <x:v>Inputs, seed &amp; nutrient tools; Data infrastructure, interoperability &amp; dashboards</x:v>
      </x:c>
      <x:c r="AG113" s="26" t="str">
        <x:v>Rice / palay; Seeds / germplasm / breeds</x:v>
      </x:c>
      <x:c r="AH113" s="26" t="str">
        <x:v>R&amp;D, breeding &amp; genetic resources</x:v>
      </x:c>
      <x:c r="AI113" s="26" t="str">
        <x:v>Web / portal; Database / MIS; Dashboard / analytics</x:v>
      </x:c>
      <x:c r="AJ113" s="30" t="n">
        <x:f>IF(AF113="","",LEN(AF113)-LEN(SUBSTITUTE(AF113,";",""))+1)</x:f>
        <x:v>2</x:v>
      </x:c>
      <x:c r="AK113" s="26" t="str">
        <x:v>Not dedicated</x:v>
      </x:c>
    </x:row>
    <x:row r="114" ht="56" customHeight="1">
      <x:c r="A114" s="26" t="str">
        <x:v>D2-110</x:v>
      </x:c>
      <x:c r="B114" s="26" t="str">
        <x:v>Bantay Palay Mobile and SMS Price Advisory System</x:v>
      </x:c>
      <x:c r="C114" s="26" t="str">
        <x:v>Bantay Palay</x:v>
      </x:c>
      <x:c r="D114" s="26" t="str">
        <x:v>DA-PhilRice and National Food Authority</x:v>
      </x:c>
      <x:c r="E114" s="26" t="str">
        <x:v>National government partnership</x:v>
      </x:c>
      <x:c r="F114" s="26" t="str">
        <x:v>Rice / palay markets</x:v>
      </x:c>
      <x:c r="G114" s="26" t="str">
        <x:v>National expansion</x:v>
      </x:c>
      <x:c r="H114" s="26" t="str">
        <x:v>Farm-gate price collection, validation and advisories</x:v>
      </x:c>
      <x:c r="I114" s="26" t="str">
        <x:v>Information and advisory services</x:v>
      </x:c>
      <x:c r="J114" s="26" t="str">
        <x:v>Markets, e-commerce &amp; logistics</x:v>
      </x:c>
      <x:c r="K114" s="26" t="str">
        <x:v>Collects verified palay prices and sends location-specific price advisories to registered farmers</x:v>
      </x:c>
      <x:c r="L114" s="26" t="str">
        <x:v>Mobile data collection, validation and SMS advisories</x:v>
      </x:c>
      <x:c r="M114" s="26" t="str">
        <x:v>Rice farmers, price collectors, NFA and policy makers</x:v>
      </x:c>
      <x:c r="N114" s="30" t="str">
        <x:v>Indirect</x:v>
      </x:c>
      <x:c r="O114" s="30" t="str">
        <x:v>Indirect</x:v>
      </x:c>
      <x:c r="P114" s="30" t="str">
        <x:v>No</x:v>
      </x:c>
      <x:c r="Q114" s="26" t="str">
        <x:v>Operational / national expansion</x:v>
      </x:c>
      <x:c r="R114" s="26" t="str">
        <x:v>Active / expanding</x:v>
      </x:c>
      <x:c r="S114" s="26" t="str">
        <x:v>PhilRice and NFA formalized nationwide expansion in 2025</x:v>
      </x:c>
      <x:c r="T114" s="26" t="str">
        <x:v>Combines verified local price collection with low-bandwidth SMS delivery</x:v>
      </x:c>
      <x:c r="U114" s="26" t="str">
        <x:v>Collector coverage, validation timeliness, manipulation risks and linkage to actual buyers</x:v>
      </x:c>
      <x:c r="V114" s="26" t="str">
        <x:v>RSBSA-linked farmer messaging is documented; public API, source code and data exports are not</x:v>
      </x:c>
      <x:c r="W114" s="26" t="str">
        <x:v>Verified farm-gate price and SMS advisory feed</x:v>
      </x:c>
      <x:c r="X114" s="30" t="str">
        <x:v>High</x:v>
      </x:c>
      <x:c r="Y114" s="26" t="str">
        <x:v>Integrate freshness-stamped prices and opt-in alerts while retaining NFA/PhilRice validation authority</x:v>
      </x:c>
      <x:c r="Z114" s="32" t="str">
        <x:v>https://www.philrice.gov.ph/new-mobile-app-helps-farmers-determine-fair-palay-prices/</x:v>
      </x:c>
      <x:c r="AA114" s="32" t="str">
        <x:v>https://www.philrice.gov.ph/philrice-nfa-partner-to-expand-bantay-palay-nationwide/</x:v>
      </x:c>
      <x:c r="AB114" s="30" t="str">
        <x:v>2026-07-13</x:v>
      </x:c>
      <x:c r="AC114" s="30" t="str">
        <x:v>High</x:v>
      </x:c>
      <x:c r="AD114" s="26" t="str"/>
      <x:c r="AE114" s="26" t="str">
        <x:v>Advisory &amp; e-extension</x:v>
      </x:c>
      <x:c r="AF114" s="26" t="str">
        <x:v>Advisory &amp; e-extension; Markets, e-commerce &amp; logistics</x:v>
      </x:c>
      <x:c r="AG114" s="26" t="str">
        <x:v>Rice / palay</x:v>
      </x:c>
      <x:c r="AH114" s="26" t="str">
        <x:v>Logistics &amp; distribution; Markets &amp; trade; Extension, training &amp; support</x:v>
      </x:c>
      <x:c r="AI114" s="26" t="str">
        <x:v>Mobile / Android; SMS / text</x:v>
      </x:c>
      <x:c r="AJ114" s="30" t="n">
        <x:f>IF(AF114="","",LEN(AF114)-LEN(SUBSTITUTE(AF114,";",""))+1)</x:f>
        <x:v>2</x:v>
      </x:c>
      <x:c r="AK114" s="26" t="str">
        <x:v>Not dedicated</x:v>
      </x:c>
    </x:row>
    <x:row r="115" ht="56" customHeight="1">
      <x:c r="A115" s="26" t="str">
        <x:v>D2-111</x:v>
      </x:c>
      <x:c r="B115" s="26" t="str">
        <x:v>RiceLytics Mobile</x:v>
      </x:c>
      <x:c r="C115" s="26" t="str">
        <x:v>RiceLytics Mobile</x:v>
      </x:c>
      <x:c r="D115" s="26" t="str">
        <x:v>DA-PhilRice</x:v>
      </x:c>
      <x:c r="E115" s="26" t="str">
        <x:v>National research institute</x:v>
      </x:c>
      <x:c r="F115" s="26" t="str">
        <x:v>Rice</x:v>
      </x:c>
      <x:c r="G115" s="26" t="str">
        <x:v>National</x:v>
      </x:c>
      <x:c r="H115" s="26" t="str">
        <x:v>Sector analytics and mobile information access</x:v>
      </x:c>
      <x:c r="I115" s="26" t="str">
        <x:v>Information and advisory services</x:v>
      </x:c>
      <x:c r="J115" s="26" t="str">
        <x:v>Data infrastructure, interoperability &amp; dashboards</x:v>
      </x:c>
      <x:c r="K115" s="26" t="str">
        <x:v>Mobile access to rice-sector analytics and information products</x:v>
      </x:c>
      <x:c r="L115" s="26" t="str">
        <x:v>Mobile application</x:v>
      </x:c>
      <x:c r="M115" s="26" t="str">
        <x:v>Policy makers, program managers, researchers and stakeholders</x:v>
      </x:c>
      <x:c r="N115" s="30" t="str">
        <x:v>Indirect</x:v>
      </x:c>
      <x:c r="O115" s="30" t="str">
        <x:v>Indirect</x:v>
      </x:c>
      <x:c r="P115" s="30" t="str">
        <x:v>Indirect</x:v>
      </x:c>
      <x:c r="Q115" s="26" t="str">
        <x:v>Operational / newly launched</x:v>
      </x:c>
      <x:c r="R115" s="26" t="str">
        <x:v>Active / operational</x:v>
      </x:c>
      <x:c r="S115" s="26" t="str">
        <x:v>Launched in December 2025</x:v>
      </x:c>
      <x:c r="T115" s="26" t="str">
        <x:v>Extends a maintained rice-analytics service to mobile users</x:v>
      </x:c>
      <x:c r="U115" s="26" t="str">
        <x:v>App uptake, synchronization with web indicators, accessibility and API availability</x:v>
      </x:c>
      <x:c r="V115" s="26" t="str">
        <x:v>Likely shares RiceLytics data, but public source, API and data-export documentation were not found</x:v>
      </x:c>
      <x:c r="W115" s="26" t="str">
        <x:v>Mobile rice-analytics interface</x:v>
      </x:c>
      <x:c r="X115" s="30" t="str">
        <x:v>Medium</x:v>
      </x:c>
      <x:c r="Y115" s="26" t="str">
        <x:v>Use a single underlying indicator service for web, mobile and SINAG to prevent divergent values</x:v>
      </x:c>
      <x:c r="Z115" s="32" t="str">
        <x:v>https://www.philrice.gov.ph/ricelytics-mobile-app-launched/</x:v>
      </x:c>
      <x:c r="AA115" s="32" t="str">
        <x:v>https://ricelytics.philrice.gov.ph/</x:v>
      </x:c>
      <x:c r="AB115" s="30" t="str">
        <x:v>2026-07-13</x:v>
      </x:c>
      <x:c r="AC115" s="30" t="str">
        <x:v>High</x:v>
      </x:c>
      <x:c r="AD115" s="26" t="str"/>
      <x:c r="AE115" s="26" t="str">
        <x:v>Advisory &amp; e-extension</x:v>
      </x:c>
      <x:c r="AF115" s="26" t="str">
        <x:v>Advisory &amp; e-extension; Data infrastructure, interoperability &amp; dashboards</x:v>
      </x:c>
      <x:c r="AG115" s="26" t="str">
        <x:v>Rice / palay</x:v>
      </x:c>
      <x:c r="AH115" s="26" t="str">
        <x:v>Extension, training &amp; support</x:v>
      </x:c>
      <x:c r="AI115" s="26" t="str">
        <x:v>Mobile / Android; Dashboard / analytics</x:v>
      </x:c>
      <x:c r="AJ115" s="30" t="n">
        <x:f>IF(AF115="","",LEN(AF115)-LEN(SUBSTITUTE(AF115,";",""))+1)</x:f>
        <x:v>2</x:v>
      </x:c>
      <x:c r="AK115" s="26" t="str">
        <x:v>Not dedicated</x:v>
      </x:c>
    </x:row>
    <x:row r="116" ht="56" customHeight="1">
      <x:c r="A116" s="26" t="str">
        <x:v>D2-112</x:v>
      </x:c>
      <x:c r="B116" s="26" t="str">
        <x:v>Pal ai Rice Knowledge Assistant</x:v>
      </x:c>
      <x:c r="C116" s="26" t="str">
        <x:v>Pal ai</x:v>
      </x:c>
      <x:c r="D116" s="26" t="str">
        <x:v>DA-PhilRice</x:v>
      </x:c>
      <x:c r="E116" s="26" t="str">
        <x:v>National research institute</x:v>
      </x:c>
      <x:c r="F116" s="26" t="str">
        <x:v>Rice knowledge and extension</x:v>
      </x:c>
      <x:c r="G116" s="26" t="str">
        <x:v>Philippines / beta deployment</x:v>
      </x:c>
      <x:c r="H116" s="26" t="str">
        <x:v>Knowledge retrieval, farmer questions and extension support</x:v>
      </x:c>
      <x:c r="I116" s="26" t="str">
        <x:v>Information and advisory services</x:v>
      </x:c>
      <x:c r="J116" s="26" t="str">
        <x:v>Advisory &amp; e-extension</x:v>
      </x:c>
      <x:c r="K116" s="26" t="str">
        <x:v>Multilingual AI assistant using large language models and retrieval-augmented generation over PhilRice knowledge</x:v>
      </x:c>
      <x:c r="L116" s="26" t="str">
        <x:v>Chatbot integrated into PhilRice social-media channels; modular AI architecture</x:v>
      </x:c>
      <x:c r="M116" s="26" t="str">
        <x:v>Farmers, extension workers and the public</x:v>
      </x:c>
      <x:c r="N116" s="30" t="str">
        <x:v>Indirect</x:v>
      </x:c>
      <x:c r="O116" s="30" t="str">
        <x:v>Yes</x:v>
      </x:c>
      <x:c r="P116" s="30" t="str">
        <x:v>Indirect</x:v>
      </x:c>
      <x:c r="Q116" s="26" t="str">
        <x:v>Beta / emerging operational service</x:v>
      </x:c>
      <x:c r="R116" s="26" t="str">
        <x:v>Pilot / beta</x:v>
      </x:c>
      <x:c r="S116" s="26" t="str">
        <x:v>Beta service was publicly described as part of PhilRice's AI ecosystem</x:v>
      </x:c>
      <x:c r="T116" s="26" t="str">
        <x:v>Localized, multilingual knowledge access and a modular integration concept</x:v>
      </x:c>
      <x:c r="U116" s="26" t="str">
        <x:v>Hallucination control, knowledge freshness, expert accountability, privacy and offline access</x:v>
      </x:c>
      <x:c r="V116" s="26" t="str">
        <x:v>A modular integration backbone is described, but no public API, model card, source repository or evaluation set was found</x:v>
      </x:c>
      <x:c r="W116" s="26" t="str">
        <x:v>AI advisory and knowledge-service connector</x:v>
      </x:c>
      <x:c r="X116" s="30" t="str">
        <x:v>High</x:v>
      </x:c>
      <x:c r="Y116" s="26" t="str">
        <x:v>Require source citations, versioned knowledge, expert escalation, safety testing and an API/service contract before integration</x:v>
      </x:c>
      <x:c r="Z116" s="32" t="str">
        <x:v>https://www.philrice.gov.ph/philrice-builds-ai-ecosystem-for-smarter-rice-farming/</x:v>
      </x:c>
      <x:c r="AA116" s="32" t="str">
        <x:v>https://www.philrice.gov.ph/rice-apps/</x:v>
      </x:c>
      <x:c r="AB116" s="30" t="str">
        <x:v>2026-07-13</x:v>
      </x:c>
      <x:c r="AC116" s="30" t="str">
        <x:v>High</x:v>
      </x:c>
      <x:c r="AD116" s="26" t="str"/>
      <x:c r="AE116" s="26" t="str"/>
      <x:c r="AF116" s="26" t="str">
        <x:v>Advisory &amp; e-extension</x:v>
      </x:c>
      <x:c r="AG116" s="26" t="str">
        <x:v>Rice / palay</x:v>
      </x:c>
      <x:c r="AH116" s="26" t="str">
        <x:v>Extension, training &amp; support</x:v>
      </x:c>
      <x:c r="AI116" s="26" t="str">
        <x:v>AI / ML / computer vision</x:v>
      </x:c>
      <x:c r="AJ116" s="30" t="n">
        <x:f>IF(AF116="","",LEN(AF116)-LEN(SUBSTITUTE(AF116,";",""))+1)</x:f>
        <x:v>1</x:v>
      </x:c>
      <x:c r="AK116" s="26" t="str">
        <x:v>Not dedicated</x:v>
      </x:c>
    </x:row>
    <x:row r="117" ht="56" customHeight="1">
      <x:c r="A117" s="26" t="str">
        <x:v>D2-113</x:v>
      </x:c>
      <x:c r="B117" s="26" t="str">
        <x:v>ePaalala Rice Advisory System</x:v>
      </x:c>
      <x:c r="C117" s="26" t="str">
        <x:v>ePaalala</x:v>
      </x:c>
      <x:c r="D117" s="26" t="str">
        <x:v>DA-PhilRice</x:v>
      </x:c>
      <x:c r="E117" s="26" t="str">
        <x:v>National research institute</x:v>
      </x:c>
      <x:c r="F117" s="26" t="str">
        <x:v>Rice</x:v>
      </x:c>
      <x:c r="G117" s="26" t="str">
        <x:v>Philippines</x:v>
      </x:c>
      <x:c r="H117" s="26" t="str">
        <x:v>Automated reminders and advisory delivery</x:v>
      </x:c>
      <x:c r="I117" s="26" t="str">
        <x:v>Information and advisory services</x:v>
      </x:c>
      <x:c r="J117" s="26" t="str">
        <x:v>Advisory &amp; e-extension</x:v>
      </x:c>
      <x:c r="K117" s="26" t="str">
        <x:v>Planned digital reminder and advisory service within PhilRice's digital transformation</x:v>
      </x:c>
      <x:c r="L117" s="26" t="str">
        <x:v>Mobile/SMS advisory concept</x:v>
      </x:c>
      <x:c r="M117" s="26" t="str">
        <x:v>Rice farmers and extension workers</x:v>
      </x:c>
      <x:c r="N117" s="30" t="str">
        <x:v>Indirect</x:v>
      </x:c>
      <x:c r="O117" s="30" t="str">
        <x:v>Yes</x:v>
      </x:c>
      <x:c r="P117" s="30" t="str">
        <x:v>Indirect</x:v>
      </x:c>
      <x:c r="Q117" s="26" t="str">
        <x:v>Concept / development reported</x:v>
      </x:c>
      <x:c r="R117" s="26" t="str">
        <x:v>Status unverified</x:v>
      </x:c>
      <x:c r="S117" s="26" t="str">
        <x:v>Described by PhilRice in 2022 as under development</x:v>
      </x:c>
      <x:c r="T117" s="26" t="str">
        <x:v>Potential low-bandwidth proactive advisory delivery</x:v>
      </x:c>
      <x:c r="U117" s="26" t="str">
        <x:v>Current status, overlap with RCMAS and PalayCheck, content governance and sustained delivery</x:v>
      </x:c>
      <x:c r="V117" s="26" t="str">
        <x:v>No current operational page, public API or code repository was located</x:v>
      </x:c>
      <x:c r="W117" s="26" t="str">
        <x:v>Legacy-development watchlist</x:v>
      </x:c>
      <x:c r="X117" s="30" t="str">
        <x:v>Low</x:v>
      </x:c>
      <x:c r="Y117" s="26" t="str">
        <x:v>Verify whether it was completed, merged or retired before listing it as an active SINAG service</x:v>
      </x:c>
      <x:c r="Z117" s="32" t="str">
        <x:v>https://www.philrice.gov.ph/philrice-digital-transformation/</x:v>
      </x:c>
      <x:c r="AA117" s="32" t="str"/>
      <x:c r="AB117" s="30" t="str">
        <x:v>2026-07-13</x:v>
      </x:c>
      <x:c r="AC117" s="30" t="str">
        <x:v>Medium</x:v>
      </x:c>
      <x:c r="AD117" s="26" t="str"/>
      <x:c r="AE117" s="26" t="str">
        <x:v>Precision agriculture, EO, drones &amp; IoT</x:v>
      </x:c>
      <x:c r="AF117" s="26" t="str">
        <x:v>Advisory &amp; e-extension; Precision agriculture, EO, drones &amp; IoT</x:v>
      </x:c>
      <x:c r="AG117" s="26" t="str">
        <x:v>Rice / palay</x:v>
      </x:c>
      <x:c r="AH117" s="26" t="str">
        <x:v>Logistics &amp; distribution; Extension, training &amp; support</x:v>
      </x:c>
      <x:c r="AI117" s="26" t="str">
        <x:v>Mobile / Android; SMS / text</x:v>
      </x:c>
      <x:c r="AJ117" s="30" t="n">
        <x:f>IF(AF117="","",LEN(AF117)-LEN(SUBSTITUTE(AF117,";",""))+1)</x:f>
        <x:v>2</x:v>
      </x:c>
      <x:c r="AK117" s="26" t="str">
        <x:v>Not dedicated</x:v>
      </x:c>
    </x:row>
    <x:row r="118" ht="56" customHeight="1">
      <x:c r="A118" s="26" t="str">
        <x:v>D2-114</x:v>
      </x:c>
      <x:c r="B118" s="26" t="str">
        <x:v>PhilRice Text Center / INFOTXT and E-INFO</x:v>
      </x:c>
      <x:c r="C118" s="26" t="str">
        <x:v>PhilRice Text Center</x:v>
      </x:c>
      <x:c r="D118" s="26" t="str">
        <x:v>DA-PhilRice</x:v>
      </x:c>
      <x:c r="E118" s="26" t="str">
        <x:v>National research institute</x:v>
      </x:c>
      <x:c r="F118" s="26" t="str">
        <x:v>Rice</x:v>
      </x:c>
      <x:c r="G118" s="26" t="str">
        <x:v>National</x:v>
      </x:c>
      <x:c r="H118" s="26" t="str">
        <x:v>Remote extension and information requests</x:v>
      </x:c>
      <x:c r="I118" s="26" t="str">
        <x:v>Information and advisory services</x:v>
      </x:c>
      <x:c r="J118" s="26" t="str">
        <x:v>Advisory &amp; e-extension</x:v>
      </x:c>
      <x:c r="K118" s="26" t="str">
        <x:v>Provides rice information and responses through SMS and electronic channels</x:v>
      </x:c>
      <x:c r="L118" s="26" t="str">
        <x:v>SMS, text center and electronic information services</x:v>
      </x:c>
      <x:c r="M118" s="26" t="str">
        <x:v>Farmers, extension workers and the public</x:v>
      </x:c>
      <x:c r="N118" s="30" t="str">
        <x:v>Indirect</x:v>
      </x:c>
      <x:c r="O118" s="30" t="str">
        <x:v>Yes</x:v>
      </x:c>
      <x:c r="P118" s="30" t="str">
        <x:v>Indirect</x:v>
      </x:c>
      <x:c r="Q118" s="26" t="str">
        <x:v>Institutionalized / legacy digital service</x:v>
      </x:c>
      <x:c r="R118" s="26" t="str">
        <x:v>Active / status to be reconfirmed</x:v>
      </x:c>
      <x:c r="S118" s="26" t="str">
        <x:v>Listed among PhilRice's official rice information services</x:v>
      </x:c>
      <x:c r="T118" s="26" t="str">
        <x:v>Low-bandwidth reach and human-supported extension</x:v>
      </x:c>
      <x:c r="U118" s="26" t="str">
        <x:v>Current service levels, response metrics, integration with newer AI/contact systems and archival knowledge</x:v>
      </x:c>
      <x:c r="V118" s="26" t="str">
        <x:v>No public API or source code; interoperability would be through case/referral and knowledge services</x:v>
      </x:c>
      <x:c r="W118" s="26" t="str">
        <x:v>Low-bandwidth advisory and escalation channel</x:v>
      </x:c>
      <x:c r="X118" s="30" t="str">
        <x:v>Medium</x:v>
      </x:c>
      <x:c r="Y118" s="26" t="str">
        <x:v>Confirm current service operations and connect tickets/FAQs without exposing personal messages</x:v>
      </x:c>
      <x:c r="Z118" s="32" t="str">
        <x:v>https://www.philrice.gov.ph/rice-apps/</x:v>
      </x:c>
      <x:c r="AA118" s="32" t="str">
        <x:v>https://www.philrice.gov.ph/philrice-digital-transformation/</x:v>
      </x:c>
      <x:c r="AB118" s="30" t="str">
        <x:v>2026-07-13</x:v>
      </x:c>
      <x:c r="AC118" s="30" t="str">
        <x:v>Medium</x:v>
      </x:c>
      <x:c r="AD118" s="26" t="str"/>
      <x:c r="AE118" s="26" t="str"/>
      <x:c r="AF118" s="26" t="str">
        <x:v>Advisory &amp; e-extension</x:v>
      </x:c>
      <x:c r="AG118" s="26" t="str">
        <x:v>Rice / palay</x:v>
      </x:c>
      <x:c r="AH118" s="26" t="str">
        <x:v>Extension, training &amp; support</x:v>
      </x:c>
      <x:c r="AI118" s="26" t="str">
        <x:v>SMS / text</x:v>
      </x:c>
      <x:c r="AJ118" s="30" t="n">
        <x:f>IF(AF118="","",LEN(AF118)-LEN(SUBSTITUTE(AF118,";",""))+1)</x:f>
        <x:v>1</x:v>
      </x:c>
      <x:c r="AK118" s="26" t="str">
        <x:v>Not dedicated</x:v>
      </x:c>
    </x:row>
    <x:row r="119" ht="56" customHeight="1">
      <x:c r="A119" s="26" t="str">
        <x:v>D2-115</x:v>
      </x:c>
      <x:c r="B119" s="26" t="str">
        <x:v>Open Academy for Philippine Agriculture</x:v>
      </x:c>
      <x:c r="C119" s="26" t="str">
        <x:v>Open Academy</x:v>
      </x:c>
      <x:c r="D119" s="26" t="str">
        <x:v>DA-PhilRice and partners</x:v>
      </x:c>
      <x:c r="E119" s="26" t="str">
        <x:v>National research institute / partnership</x:v>
      </x:c>
      <x:c r="F119" s="26" t="str">
        <x:v>Agriculture with rice emphasis</x:v>
      </x:c>
      <x:c r="G119" s="26" t="str">
        <x:v>National</x:v>
      </x:c>
      <x:c r="H119" s="26" t="str">
        <x:v>Digital learning and extension</x:v>
      </x:c>
      <x:c r="I119" s="26" t="str">
        <x:v>Information and advisory services</x:v>
      </x:c>
      <x:c r="J119" s="26" t="str">
        <x:v>Advisory &amp; e-extension</x:v>
      </x:c>
      <x:c r="K119" s="26" t="str">
        <x:v>Earlier online agriculture learning and extension initiative that informed later PhilRice digital services</x:v>
      </x:c>
      <x:c r="L119" s="26" t="str">
        <x:v>Web learning and information platform</x:v>
      </x:c>
      <x:c r="M119" s="26" t="str">
        <x:v>Farmers, extension workers and learners</x:v>
      </x:c>
      <x:c r="N119" s="30" t="str">
        <x:v>Indirect</x:v>
      </x:c>
      <x:c r="O119" s="30" t="str">
        <x:v>Yes</x:v>
      </x:c>
      <x:c r="P119" s="30" t="str">
        <x:v>Indirect</x:v>
      </x:c>
      <x:c r="Q119" s="26" t="str">
        <x:v>Legacy platform / precursor</x:v>
      </x:c>
      <x:c r="R119" s="26" t="str">
        <x:v>Legacy / current status unverified</x:v>
      </x:c>
      <x:c r="S119" s="26" t="str">
        <x:v>Identified by PhilRice as an early digital transformation initiative</x:v>
      </x:c>
      <x:c r="T119" s="26" t="str">
        <x:v>Institutional experience in digital extension</x:v>
      </x:c>
      <x:c r="U119" s="26" t="str">
        <x:v>Platform continuity, outdated content, overlap and archival/access status</x:v>
      </x:c>
      <x:c r="V119" s="26" t="str">
        <x:v>No current public source repository, API or maintained-service evidence located</x:v>
      </x:c>
      <x:c r="W119" s="26" t="str">
        <x:v>Historical content and institutional-learning source</x:v>
      </x:c>
      <x:c r="X119" s="30" t="str">
        <x:v>Low</x:v>
      </x:c>
      <x:c r="Y119" s="26" t="str">
        <x:v>Archive and index maintained materials; do not present the legacy platform as active without verification</x:v>
      </x:c>
      <x:c r="Z119" s="32" t="str">
        <x:v>https://www.philrice.gov.ph/philrice-digital-transformation/</x:v>
      </x:c>
      <x:c r="AA119" s="32" t="str"/>
      <x:c r="AB119" s="30" t="str">
        <x:v>2026-07-13</x:v>
      </x:c>
      <x:c r="AC119" s="30" t="str">
        <x:v>Medium</x:v>
      </x:c>
      <x:c r="AD119" s="26" t="str"/>
      <x:c r="AE119" s="26" t="str">
        <x:v>Training, capacity &amp; innovation hubs</x:v>
      </x:c>
      <x:c r="AF119" s="26" t="str">
        <x:v>Advisory &amp; e-extension; Training, capacity &amp; innovation hubs</x:v>
      </x:c>
      <x:c r="AG119" s="26" t="str">
        <x:v>Rice / palay</x:v>
      </x:c>
      <x:c r="AH119" s="26" t="str">
        <x:v>Extension, training &amp; support</x:v>
      </x:c>
      <x:c r="AI119" s="26" t="str">
        <x:v>Web / portal</x:v>
      </x:c>
      <x:c r="AJ119" s="30" t="n">
        <x:f>IF(AF119="","",LEN(AF119)-LEN(SUBSTITUTE(AF119,";",""))+1)</x:f>
        <x:v>2</x:v>
      </x:c>
      <x:c r="AK119" s="26" t="str">
        <x:v>Not dedicated</x:v>
      </x:c>
    </x:row>
    <x:row r="120" ht="56" customHeight="1">
      <x:c r="A120" s="26" t="str">
        <x:v>D2-116</x:v>
      </x:c>
      <x:c r="B120" s="26" t="str">
        <x:v>PhilRice Statistical Laboratory Digital Data Service</x:v>
      </x:c>
      <x:c r="C120" s="26" t="str">
        <x:v>StatLab</x:v>
      </x:c>
      <x:c r="D120" s="26" t="str">
        <x:v>DA-PhilRice</x:v>
      </x:c>
      <x:c r="E120" s="26" t="str">
        <x:v>National research institute</x:v>
      </x:c>
      <x:c r="F120" s="26" t="str">
        <x:v>Rice research and statistics</x:v>
      </x:c>
      <x:c r="G120" s="26" t="str">
        <x:v>National / research clients</x:v>
      </x:c>
      <x:c r="H120" s="26" t="str">
        <x:v>Statistical analysis and research support</x:v>
      </x:c>
      <x:c r="I120" s="26" t="str">
        <x:v>Decision support / public service</x:v>
      </x:c>
      <x:c r="J120" s="26" t="str">
        <x:v>Data infrastructure, interoperability &amp; dashboards</x:v>
      </x:c>
      <x:c r="K120" s="26" t="str">
        <x:v>Statistical analysis and data-service support for rice research and development</x:v>
      </x:c>
      <x:c r="L120" s="26" t="str">
        <x:v>Digital statistical service / analytics support</x:v>
      </x:c>
      <x:c r="M120" s="26" t="str">
        <x:v>Researchers, PhilRice units and partners</x:v>
      </x:c>
      <x:c r="N120" s="30" t="str">
        <x:v>Indirect</x:v>
      </x:c>
      <x:c r="O120" s="30" t="str">
        <x:v>Indirect</x:v>
      </x:c>
      <x:c r="P120" s="30" t="str">
        <x:v>Indirect</x:v>
      </x:c>
      <x:c r="Q120" s="26" t="str">
        <x:v>Operational service</x:v>
      </x:c>
      <x:c r="R120" s="26" t="str">
        <x:v>Active / status to be reconfirmed</x:v>
      </x:c>
      <x:c r="S120" s="26" t="str">
        <x:v>Named in PhilRice's digital transformation portfolio</x:v>
      </x:c>
      <x:c r="T120" s="26" t="str">
        <x:v>Specialized statistical support linked to a national rice institute</x:v>
      </x:c>
      <x:c r="U120" s="26" t="str">
        <x:v>Public service description, request workflow, reproducibility, data governance and capacity</x:v>
      </x:c>
      <x:c r="V120" s="26" t="str">
        <x:v>No public code, API or standardized exchange documentation located</x:v>
      </x:c>
      <x:c r="W120" s="26" t="str">
        <x:v>Research analytics and methods-support node</x:v>
      </x:c>
      <x:c r="X120" s="30" t="str">
        <x:v>Low</x:v>
      </x:c>
      <x:c r="Y120" s="26" t="str">
        <x:v>Clarify whether StatLab is a platform, laboratory service or internal workflow before technical integration</x:v>
      </x:c>
      <x:c r="Z120" s="32" t="str">
        <x:v>https://www.philrice.gov.ph/philrice-digital-transformation/</x:v>
      </x:c>
      <x:c r="AA120" s="32" t="str"/>
      <x:c r="AB120" s="30" t="str">
        <x:v>2026-07-13</x:v>
      </x:c>
      <x:c r="AC120" s="30" t="str">
        <x:v>Medium</x:v>
      </x:c>
      <x:c r="AD120" s="26" t="str"/>
      <x:c r="AE120" s="26" t="str"/>
      <x:c r="AF120" s="26" t="str">
        <x:v>Data infrastructure, interoperability &amp; dashboards</x:v>
      </x:c>
      <x:c r="AG120" s="26" t="str">
        <x:v>Rice / palay</x:v>
      </x:c>
      <x:c r="AH120" s="26" t="str">
        <x:v>R&amp;D, breeding &amp; genetic resources</x:v>
      </x:c>
      <x:c r="AI120" s="26" t="str">
        <x:v>Dashboard / analytics</x:v>
      </x:c>
      <x:c r="AJ120" s="30" t="n">
        <x:f>IF(AF120="","",LEN(AF120)-LEN(SUBSTITUTE(AF120,";",""))+1)</x:f>
        <x:v>1</x:v>
      </x:c>
      <x:c r="AK120" s="26" t="str">
        <x:v>Not dedicated</x:v>
      </x:c>
    </x:row>
    <x:row r="121" ht="56" customHeight="1">
      <x:c r="A121" s="26" t="str">
        <x:v>D2-117</x:v>
      </x:c>
      <x:c r="B121" s="26" t="str">
        <x:v>Bantay SARAi Agricultural Monitoring Platform</x:v>
      </x:c>
      <x:c r="C121" s="26" t="str">
        <x:v>Bantay SARAi</x:v>
      </x:c>
      <x:c r="D121" s="26" t="str">
        <x:v>UP Los Baños / Project SARAi / DOST-PCAARRD</x:v>
      </x:c>
      <x:c r="E121" s="26" t="str">
        <x:v>SUC–government research partnership</x:v>
      </x:c>
      <x:c r="F121" s="26" t="str">
        <x:v>Multiple priority crops</x:v>
      </x:c>
      <x:c r="G121" s="26" t="str">
        <x:v>Philippines / project and LGU areas</x:v>
      </x:c>
      <x:c r="H121" s="26" t="str">
        <x:v>Farmer, planting, harvest and biophysical data collection</x:v>
      </x:c>
      <x:c r="I121" s="26" t="str">
        <x:v>Decision support / computer-enabled systems</x:v>
      </x:c>
      <x:c r="J121" s="26" t="str">
        <x:v>Farm management &amp; decision support</x:v>
      </x:c>
      <x:c r="K121" s="26" t="str">
        <x:v>Real-time digital collection of farmer, planting, harvest and remote-sensing-based biophysical data</x:v>
      </x:c>
      <x:c r="L121" s="26" t="str">
        <x:v>Web/mobile data collection and monitoring platform</x:v>
      </x:c>
      <x:c r="M121" s="26" t="str">
        <x:v>LGUs, extension workers, researchers and program managers</x:v>
      </x:c>
      <x:c r="N121" s="30" t="str">
        <x:v>Yes</x:v>
      </x:c>
      <x:c r="O121" s="30" t="str">
        <x:v>Yes</x:v>
      </x:c>
      <x:c r="P121" s="30" t="str">
        <x:v>Indirect</x:v>
      </x:c>
      <x:c r="Q121" s="26" t="str">
        <x:v>Operational research platform / demonstration</x:v>
      </x:c>
      <x:c r="R121" s="26" t="str">
        <x:v>Active / status partly verified</x:v>
      </x:c>
      <x:c r="S121" s="26" t="str">
        <x:v>Showcased by DOST-PCAARRD in 2024</x:v>
      </x:c>
      <x:c r="T121" s="26" t="str">
        <x:v>Combines field records with remote-sensing-oriented agricultural monitoring</x:v>
      </x:c>
      <x:c r="U121" s="26" t="str">
        <x:v>Long-term hosting, RSBSA naming ambiguity, identity alignment and operational adoption</x:v>
      </x:c>
      <x:c r="V121" s="26" t="str">
        <x:v>Multi-source monitoring is described; no public API, source repository or schema documentation located</x:v>
      </x:c>
      <x:c r="W121" s="26" t="str">
        <x:v>LGU monitoring and field-data connector</x:v>
      </x:c>
      <x:c r="X121" s="30" t="str">
        <x:v>High</x:v>
      </x:c>
      <x:c r="Y121" s="26" t="str">
        <x:v>Clarify relationship to RSBSA/iFARM and adopt common farmer, field, season and crop-event schemas</x:v>
      </x:c>
      <x:c r="Z121" s="32" t="str">
        <x:v>https://www.pcaarrd.dost.gov.ph/index.php/quick-information-dispatch-qid-articles/dost-pcaarrd-supported-r-d-initiatives-showcased-at-iscene-2024s-breakout-sessions</x:v>
      </x:c>
      <x:c r="AA121" s="32" t="str">
        <x:v>https://sarai.ph/</x:v>
      </x:c>
      <x:c r="AB121" s="30" t="str">
        <x:v>2026-07-13</x:v>
      </x:c>
      <x:c r="AC121" s="30" t="str">
        <x:v>High</x:v>
      </x:c>
      <x:c r="AD121" s="26" t="str"/>
      <x:c r="AE121" s="26" t="str"/>
      <x:c r="AF121" s="26" t="str">
        <x:v>Farm management &amp; decision support</x:v>
      </x:c>
      <x:c r="AG121" s="26" t="str">
        <x:v>Agriculture — general</x:v>
      </x:c>
      <x:c r="AH121" s="26" t="str">
        <x:v>Production &amp; farm management; Harvest &amp; postharvest</x:v>
      </x:c>
      <x:c r="AI121" s="26" t="str">
        <x:v>Web / portal; Mobile / Android</x:v>
      </x:c>
      <x:c r="AJ121" s="30" t="n">
        <x:f>IF(AF121="","",LEN(AF121)-LEN(SUBSTITUTE(AF121,";",""))+1)</x:f>
        <x:v>1</x:v>
      </x:c>
      <x:c r="AK121" s="26" t="str">
        <x:v>Not dedicated</x:v>
      </x:c>
    </x:row>
    <x:row r="122" ht="56" customHeight="1">
      <x:c r="A122" s="26" t="str">
        <x:v>D2-118</x:v>
      </x:c>
      <x:c r="B122" s="26" t="str">
        <x:v>Community-Level SARAi Enhanced Agricultural Monitoring System</x:v>
      </x:c>
      <x:c r="C122" s="26" t="str">
        <x:v>CL-SEAMS</x:v>
      </x:c>
      <x:c r="D122" s="26" t="str">
        <x:v>UP Los Baños / Project SARAi / DOST-PCAARRD</x:v>
      </x:c>
      <x:c r="E122" s="26" t="str">
        <x:v>SUC–government research partnership</x:v>
      </x:c>
      <x:c r="F122" s="26" t="str">
        <x:v>Multiple crops and disaster assessment</x:v>
      </x:c>
      <x:c r="G122" s="26" t="str">
        <x:v>LGU / community scale</x:v>
      </x:c>
      <x:c r="H122" s="26" t="str">
        <x:v>Crop monitoring, forecasting, flood monitoring and damage assessment</x:v>
      </x:c>
      <x:c r="I122" s="26" t="str">
        <x:v>Decision support / computer-enabled systems</x:v>
      </x:c>
      <x:c r="J122" s="26" t="str">
        <x:v>Precision agriculture, EO, drones &amp; IoT</x:v>
      </x:c>
      <x:c r="K122" s="26" t="str">
        <x:v>Uses GIS and satellite remote sensing for crop type, crop health, forecasting and disaster assessment</x:v>
      </x:c>
      <x:c r="L122" s="26" t="str">
        <x:v>QGIS, Google Earth Engine, free satellite data and GIS workflows</x:v>
      </x:c>
      <x:c r="M122" s="26" t="str">
        <x:v>LGUs, extension workers and planners</x:v>
      </x:c>
      <x:c r="N122" s="30" t="str">
        <x:v>Indirect</x:v>
      </x:c>
      <x:c r="O122" s="30" t="str">
        <x:v>Yes</x:v>
      </x:c>
      <x:c r="P122" s="30" t="str">
        <x:v>Indirect</x:v>
      </x:c>
      <x:c r="Q122" s="26" t="str">
        <x:v>Operational methodology / LGU technology transfer</x:v>
      </x:c>
      <x:c r="R122" s="26" t="str">
        <x:v>Active / expanding</x:v>
      </x:c>
      <x:c r="S122" s="26" t="str">
        <x:v>DOST-PCAARRD documented deployment-oriented demonstrations in 2024</x:v>
      </x:c>
      <x:c r="T122" s="26" t="str">
        <x:v>Explicit use of free satellite data and open-source GIS tools lowers adoption barriers</x:v>
      </x:c>
      <x:c r="U122" s="26" t="str">
        <x:v>Technical skills, GEE dependencies, validation, workflow maintenance and data standardization</x:v>
      </x:c>
      <x:c r="V122" s="26" t="str">
        <x:v>Underlying QGIS and satellite components are open; application workflows/source repository were not located</x:v>
      </x:c>
      <x:c r="W122" s="26" t="str">
        <x:v>Open geospatial monitoring methodology and LGU node</x:v>
      </x:c>
      <x:c r="X122" s="30" t="str">
        <x:v>High</x:v>
      </x:c>
      <x:c r="Y122" s="26" t="str">
        <x:v>Publish reproducible workflows, scripts, layer standards, validation metrics and service interfaces</x:v>
      </x:c>
      <x:c r="Z122" s="32" t="str">
        <x:v>https://www.pcaarrd.dost.gov.ph/index.php/quick-information-dispatch-qid-articles/dost-pcaarrd-supported-r-d-initiatives-showcased-at-iscene-2024s-breakout-sessions</x:v>
      </x:c>
      <x:c r="AA122" s="32" t="str">
        <x:v>https://sarai.ph/</x:v>
      </x:c>
      <x:c r="AB122" s="30" t="str">
        <x:v>2026-07-13</x:v>
      </x:c>
      <x:c r="AC122" s="30" t="str">
        <x:v>High</x:v>
      </x:c>
      <x:c r="AD122" s="26" t="str"/>
      <x:c r="AE122" s="26" t="str">
        <x:v>Climate, weather &amp; early warning</x:v>
      </x:c>
      <x:c r="AF122" s="26" t="str">
        <x:v>Climate, weather &amp; early warning; Precision agriculture, EO, drones &amp; IoT</x:v>
      </x:c>
      <x:c r="AG122" s="26" t="str">
        <x:v>Cross-sector</x:v>
      </x:c>
      <x:c r="AH122" s="26" t="str">
        <x:v>Production &amp; farm management</x:v>
      </x:c>
      <x:c r="AI122" s="26" t="str">
        <x:v>GIS / WebGIS; Remote sensing / EO</x:v>
      </x:c>
      <x:c r="AJ122" s="30" t="n">
        <x:f>IF(AF122="","",LEN(AF122)-LEN(SUBSTITUTE(AF122,";",""))+1)</x:f>
        <x:v>2</x:v>
      </x:c>
      <x:c r="AK122" s="26" t="str">
        <x:v>Not dedicated</x:v>
      </x:c>
    </x:row>
    <x:row r="123" ht="56" customHeight="1">
      <x:c r="A123" s="26" t="str">
        <x:v>D2-119</x:v>
      </x:c>
      <x:c r="B123" s="26" t="str">
        <x:v>Drought and Crop Assessment and Forecasting</x:v>
      </x:c>
      <x:c r="C123" s="26" t="str">
        <x:v>DCAF</x:v>
      </x:c>
      <x:c r="D123" s="26" t="str">
        <x:v>UP Los Baños / Project SARAi / DOST-PCAARRD</x:v>
      </x:c>
      <x:c r="E123" s="26" t="str">
        <x:v>SUC–government research partnership</x:v>
      </x:c>
      <x:c r="F123" s="26" t="str">
        <x:v>Rice, corn and priority crops</x:v>
      </x:c>
      <x:c r="G123" s="26" t="str">
        <x:v>Philippines</x:v>
      </x:c>
      <x:c r="H123" s="26" t="str">
        <x:v>Drought monitoring, crop assessment and planting guidance</x:v>
      </x:c>
      <x:c r="I123" s="26" t="str">
        <x:v>Decision support / computer-enabled systems</x:v>
      </x:c>
      <x:c r="J123" s="26" t="str">
        <x:v>Climate, weather &amp; early warning</x:v>
      </x:c>
      <x:c r="K123" s="26" t="str">
        <x:v>Generates drought/crop assessment products and site-specific planting-date guidance</x:v>
      </x:c>
      <x:c r="L123" s="26" t="str">
        <x:v>Climate analytics, crop modelling and geospatial information</x:v>
      </x:c>
      <x:c r="M123" s="26" t="str">
        <x:v>Farmers, LGUs, planners and extension workers</x:v>
      </x:c>
      <x:c r="N123" s="30" t="str">
        <x:v>Indirect</x:v>
      </x:c>
      <x:c r="O123" s="30" t="str">
        <x:v>Yes</x:v>
      </x:c>
      <x:c r="P123" s="30" t="str">
        <x:v>Indirect</x:v>
      </x:c>
      <x:c r="Q123" s="26" t="str">
        <x:v>Research output / operational advisory component</x:v>
      </x:c>
      <x:c r="R123" s="26" t="str">
        <x:v>Status unverified</x:v>
      </x:c>
      <x:c r="S123" s="26" t="str">
        <x:v>Listed in DOST-PCAARRD's technology portfolio</x:v>
      </x:c>
      <x:c r="T123" s="26" t="str">
        <x:v>Direct climate-risk and crop-calendar relevance</x:v>
      </x:c>
      <x:c r="U123" s="26" t="str">
        <x:v>Current hosting, update schedule, access, local validation and integration with authoritative forecasts</x:v>
      </x:c>
      <x:c r="V123" s="26" t="str">
        <x:v>No current public API, source repository or data-exchange documentation identified</x:v>
      </x:c>
      <x:c r="W123" s="26" t="str">
        <x:v>Climate-risk and planting-date layer</x:v>
      </x:c>
      <x:c r="X123" s="30" t="str">
        <x:v>Medium</x:v>
      </x:c>
      <x:c r="Y123" s="26" t="str">
        <x:v>Verify maintained outputs and link advisories to authoritative forecasts, uncertainty and local action rules</x:v>
      </x:c>
      <x:c r="Z123" s="32" t="str">
        <x:v>https://ispweb.pcaarrd.dost.gov.ph/tag/technologies/page/8/</x:v>
      </x:c>
      <x:c r="AA123" s="32" t="str">
        <x:v>https://sarai.ph/</x:v>
      </x:c>
      <x:c r="AB123" s="30" t="str">
        <x:v>2026-07-13</x:v>
      </x:c>
      <x:c r="AC123" s="30" t="str">
        <x:v>Medium</x:v>
      </x:c>
      <x:c r="AD123" s="26" t="str"/>
      <x:c r="AE123" s="26" t="str">
        <x:v>Precision agriculture, EO, drones &amp; IoT; Data infrastructure, interoperability &amp; dashboards</x:v>
      </x:c>
      <x:c r="AF123" s="26" t="str">
        <x:v>Climate, weather &amp; early warning; Precision agriculture, EO, drones &amp; IoT; Data infrastructure, interoperability &amp; dashboards</x:v>
      </x:c>
      <x:c r="AG123" s="26" t="str">
        <x:v>Rice / palay; Corn / maize</x:v>
      </x:c>
      <x:c r="AH123" s="26" t="str">
        <x:v>Production &amp; farm management</x:v>
      </x:c>
      <x:c r="AI123" s="26" t="str">
        <x:v>Dashboard / analytics; GIS / WebGIS</x:v>
      </x:c>
      <x:c r="AJ123" s="30" t="n">
        <x:f>IF(AF123="","",LEN(AF123)-LEN(SUBSTITUTE(AF123,";",""))+1)</x:f>
        <x:v>3</x:v>
      </x:c>
      <x:c r="AK123" s="26" t="str">
        <x:v>Not dedicated</x:v>
      </x:c>
    </x:row>
    <x:row r="124" ht="56" customHeight="1">
      <x:c r="A124" s="26" t="str">
        <x:v>D2-120</x:v>
      </x:c>
      <x:c r="B124" s="26" t="str">
        <x:v>Water Balance-Assisted Irrigation Scheduler System</x:v>
      </x:c>
      <x:c r="C124" s="26" t="str">
        <x:v>WAISS / WAIS</x:v>
      </x:c>
      <x:c r="D124" s="26" t="str">
        <x:v>UP Los Baños / Project SARAi / DOST-PCAARRD</x:v>
      </x:c>
      <x:c r="E124" s="26" t="str">
        <x:v>SUC–government research partnership</x:v>
      </x:c>
      <x:c r="F124" s="26" t="str">
        <x:v>Multiple crops and irrigation</x:v>
      </x:c>
      <x:c r="G124" s="26" t="str">
        <x:v>Philippines / demonstration sites</x:v>
      </x:c>
      <x:c r="H124" s="26" t="str">
        <x:v>Irrigation scheduling and soil-water management</x:v>
      </x:c>
      <x:c r="I124" s="26" t="str">
        <x:v>Agricultural automation / smart farming</x:v>
      </x:c>
      <x:c r="J124" s="26" t="str">
        <x:v>Farm management &amp; decision support</x:v>
      </x:c>
      <x:c r="K124" s="26" t="str">
        <x:v>Estimates soil-water deficit and provides irrigation scheduling recommendations</x:v>
      </x:c>
      <x:c r="L124" s="26" t="str">
        <x:v>Web/mobile decision support, weather data and soil-moisture inputs</x:v>
      </x:c>
      <x:c r="M124" s="26" t="str">
        <x:v>Farmers, irrigators, extension workers and researchers</x:v>
      </x:c>
      <x:c r="N124" s="30" t="str">
        <x:v>Yes</x:v>
      </x:c>
      <x:c r="O124" s="30" t="str">
        <x:v>Yes</x:v>
      </x:c>
      <x:c r="P124" s="30" t="str">
        <x:v>Yes</x:v>
      </x:c>
      <x:c r="Q124" s="26" t="str">
        <x:v>Prototype / field-demonstration technology</x:v>
      </x:c>
      <x:c r="R124" s="26" t="str">
        <x:v>Status unverified</x:v>
      </x:c>
      <x:c r="S124" s="26" t="str">
        <x:v>DOST-PCAARRD lists web/mobile WAIS and field demonstrations among SARAi outputs</x:v>
      </x:c>
      <x:c r="T124" s="26" t="str">
        <x:v>Combines weather, sensors and decision rules for efficient irrigation</x:v>
      </x:c>
      <x:c r="U124" s="26" t="str">
        <x:v>Current availability, field calibration, sensor support, data inputs and service ownership</x:v>
      </x:c>
      <x:c r="V124" s="26" t="str">
        <x:v>Web/mobile and sensor linkages are documented, but no official source repo or public API was found</x:v>
      </x:c>
      <x:c r="W124" s="26" t="str">
        <x:v>Irrigation advisory engine</x:v>
      </x:c>
      <x:c r="X124" s="30" t="str">
        <x:v>High</x:v>
      </x:c>
      <x:c r="Y124" s="26" t="str">
        <x:v>Standardize weather, soil, crop and irrigation-event inputs and compare with AutoMonPH/RCMAS before integration</x:v>
      </x:c>
      <x:c r="Z124" s="32" t="str">
        <x:v>https://ispweb.pcaarrd.dost.gov.ph/tag/technologies/page/8/</x:v>
      </x:c>
      <x:c r="AA124" s="32" t="str">
        <x:v>https://sarai.ph/</x:v>
      </x:c>
      <x:c r="AB124" s="30" t="str">
        <x:v>2026-07-13</x:v>
      </x:c>
      <x:c r="AC124" s="30" t="str">
        <x:v>Medium</x:v>
      </x:c>
      <x:c r="AD124" s="26" t="str"/>
      <x:c r="AE124" s="26" t="str">
        <x:v>Advisory &amp; e-extension; Climate, weather &amp; early warning; Precision agriculture, EO, drones &amp; IoT</x:v>
      </x:c>
      <x:c r="AF124" s="26" t="str">
        <x:v>Advisory &amp; e-extension; Farm management &amp; decision support; Climate, weather &amp; early warning; Precision agriculture, EO, drones &amp; IoT</x:v>
      </x:c>
      <x:c r="AG124" s="26" t="str">
        <x:v>Cross-sector</x:v>
      </x:c>
      <x:c r="AH124" s="26" t="str">
        <x:v>Production &amp; farm management; Irrigation &amp; water management</x:v>
      </x:c>
      <x:c r="AI124" s="26" t="str">
        <x:v>Web / portal; Mobile / Android</x:v>
      </x:c>
      <x:c r="AJ124" s="30" t="n">
        <x:f>IF(AF124="","",LEN(AF124)-LEN(SUBSTITUTE(AF124,";",""))+1)</x:f>
        <x:v>4</x:v>
      </x:c>
      <x:c r="AK124" s="26" t="str">
        <x:v>Not dedicated</x:v>
      </x:c>
    </x:row>
    <x:row r="125" ht="56" customHeight="1">
      <x:c r="A125" s="26" t="str">
        <x:v>D2-121</x:v>
      </x:c>
      <x:c r="B125" s="26" t="str">
        <x:v>SARAi Automatic Weather and Soil Sensor Network</x:v>
      </x:c>
      <x:c r="C125" s="26" t="str">
        <x:v>SARAi AWS/SSS Network</x:v>
      </x:c>
      <x:c r="D125" s="26" t="str">
        <x:v>UP Los Baños / DOST-PCAARRD and regional partners</x:v>
      </x:c>
      <x:c r="E125" s="26" t="str">
        <x:v>SUC–government research partnership</x:v>
      </x:c>
      <x:c r="F125" s="26" t="str">
        <x:v>Cross-sector agrometeorology</x:v>
      </x:c>
      <x:c r="G125" s="26" t="str">
        <x:v>Multi-region network</x:v>
      </x:c>
      <x:c r="H125" s="26" t="str">
        <x:v>Weather, soil and crop monitoring</x:v>
      </x:c>
      <x:c r="I125" s="26" t="str">
        <x:v>Agricultural automation / smart farming</x:v>
      </x:c>
      <x:c r="J125" s="26" t="str">
        <x:v>Precision agriculture, EO, drones &amp; IoT</x:v>
      </x:c>
      <x:c r="K125" s="26" t="str">
        <x:v>Interconnects automatic weather stations and soil sensor stations into a common agricultural database</x:v>
      </x:c>
      <x:c r="L125" s="26" t="str">
        <x:v>AWS, soil sensors, wireless transmission, common database and UAV validation</x:v>
      </x:c>
      <x:c r="M125" s="26" t="str">
        <x:v>Researchers, regional consortia, DA, LGUs and farming communities</x:v>
      </x:c>
      <x:c r="N125" s="30" t="str">
        <x:v>Indirect</x:v>
      </x:c>
      <x:c r="O125" s="30" t="str">
        <x:v>Yes</x:v>
      </x:c>
      <x:c r="P125" s="30" t="str">
        <x:v>Indirect</x:v>
      </x:c>
      <x:c r="Q125" s="26" t="str">
        <x:v>Research infrastructure / network development</x:v>
      </x:c>
      <x:c r="R125" s="26" t="str">
        <x:v>Status unverified</x:v>
      </x:c>
      <x:c r="S125" s="26" t="str">
        <x:v>Project documents describe interconnection of SARAi and non-SARAi stations and a common database</x:v>
      </x:c>
      <x:c r="T125" s="26" t="str">
        <x:v>Explicit multi-station interconnection and calibration objectives</x:v>
      </x:c>
      <x:c r="U125" s="26" t="str">
        <x:v>Maintenance, calibration, power/connectivity, station ownership, standards and post-project continuity</x:v>
      </x:c>
      <x:c r="V125" s="26" t="str">
        <x:v>Interconnection and common-database objectives are explicit; public APIs and source code were not located</x:v>
      </x:c>
      <x:c r="W125" s="26" t="str">
        <x:v>Agrometeorological and sensor network feed</x:v>
      </x:c>
      <x:c r="X125" s="30" t="str">
        <x:v>High</x:v>
      </x:c>
      <x:c r="Y125" s="26" t="str">
        <x:v>Inventory active stations, publish observation/calibration metadata and connect through standard sensor APIs</x:v>
      </x:c>
      <x:c r="Z125" s="32" t="str">
        <x:v>https://sarai.ph/</x:v>
      </x:c>
      <x:c r="AA125" s="32" t="str">
        <x:v>https://www.pcaarrd.dost.gov.ph/index.php/quick-information-dispatch-qid-articles/dost-pcaarrd-supported-r-d-initiatives-showcased-at-iscene-2024s-breakout-sessions</x:v>
      </x:c>
      <x:c r="AB125" s="30" t="str">
        <x:v>2026-07-13</x:v>
      </x:c>
      <x:c r="AC125" s="30" t="str">
        <x:v>Medium</x:v>
      </x:c>
      <x:c r="AD125" s="26" t="str"/>
      <x:c r="AE125" s="26" t="str">
        <x:v>Climate, weather &amp; early warning; Data infrastructure, interoperability &amp; dashboards</x:v>
      </x:c>
      <x:c r="AF125" s="26" t="str">
        <x:v>Climate, weather &amp; early warning; Precision agriculture, EO, drones &amp; IoT; Data infrastructure, interoperability &amp; dashboards</x:v>
      </x:c>
      <x:c r="AG125" s="26" t="str">
        <x:v>Cross-sector</x:v>
      </x:c>
      <x:c r="AH125" s="26" t="str">
        <x:v>Production &amp; farm management</x:v>
      </x:c>
      <x:c r="AI125" s="26" t="str">
        <x:v>Database / MIS; UAV / drone; IoT / sensors</x:v>
      </x:c>
      <x:c r="AJ125" s="30" t="n">
        <x:f>IF(AF125="","",LEN(AF125)-LEN(SUBSTITUTE(AF125,";",""))+1)</x:f>
        <x:v>3</x:v>
      </x:c>
      <x:c r="AK125" s="26" t="str">
        <x:v>Not dedicated</x:v>
      </x:c>
    </x:row>
    <x:row r="126" ht="56" customHeight="1">
      <x:c r="A126" s="26" t="str">
        <x:v>D2-122</x:v>
      </x:c>
      <x:c r="B126" s="26" t="str">
        <x:v>SARAi Insect Pest and Disease Advisory System</x:v>
      </x:c>
      <x:c r="C126" s="26" t="str">
        <x:v>IPDAS</x:v>
      </x:c>
      <x:c r="D126" s="26" t="str">
        <x:v>UP Los Baños / Project SARAi / DOST-PCAARRD</x:v>
      </x:c>
      <x:c r="E126" s="26" t="str">
        <x:v>SUC–government research partnership</x:v>
      </x:c>
      <x:c r="F126" s="26" t="str">
        <x:v>Corn, coconut, coffee, cacao, banana, sugarcane and vegetables</x:v>
      </x:c>
      <x:c r="G126" s="26" t="str">
        <x:v>Philippines</x:v>
      </x:c>
      <x:c r="H126" s="26" t="str">
        <x:v>Pest surveillance, modelling and advisories</x:v>
      </x:c>
      <x:c r="I126" s="26" t="str">
        <x:v>Decision support / computer-enabled systems</x:v>
      </x:c>
      <x:c r="J126" s="26" t="str">
        <x:v>Pest, disease &amp; biosecurity</x:v>
      </x:c>
      <x:c r="K126" s="26" t="str">
        <x:v>Surveillance and decision support for climate-sensitive pests and diseases of priority crops</x:v>
      </x:c>
      <x:c r="L126" s="26" t="str">
        <x:v>Field monitoring, weather/climate data, models and advisory products</x:v>
      </x:c>
      <x:c r="M126" s="26" t="str">
        <x:v>Farmers, extension workers, LGUs and crop-protection agencies</x:v>
      </x:c>
      <x:c r="N126" s="30" t="str">
        <x:v>Yes</x:v>
      </x:c>
      <x:c r="O126" s="30" t="str">
        <x:v>Yes</x:v>
      </x:c>
      <x:c r="P126" s="30" t="str">
        <x:v>Indirect</x:v>
      </x:c>
      <x:c r="Q126" s="26" t="str">
        <x:v>Research program component / decision support</x:v>
      </x:c>
      <x:c r="R126" s="26" t="str">
        <x:v>Status unverified</x:v>
      </x:c>
      <x:c r="S126" s="26" t="str">
        <x:v>Documented as a SARAi Phase 2 pest and disease advisory component</x:v>
      </x:c>
      <x:c r="T126" s="26" t="str">
        <x:v>Multi-crop, climate-linked pest surveillance concept</x:v>
      </x:c>
      <x:c r="U126" s="26" t="str">
        <x:v>Current operational status, data continuity, model evaluation, alert thresholds and overlap with SPIDTECH/PRIME</x:v>
      </x:c>
      <x:c r="V126" s="26" t="str">
        <x:v>Planned multi-data integration is evident; public APIs, code and current service endpoints were not found</x:v>
      </x:c>
      <x:c r="W126" s="26" t="str">
        <x:v>Multi-crop pest-risk analytics and surveillance feed</x:v>
      </x:c>
      <x:c r="X126" s="30" t="str">
        <x:v>High</x:v>
      </x:c>
      <x:c r="Y126" s="26" t="str">
        <x:v>Reconcile with SPIDTECH and commodity surveillance systems; share validated observations, models and alert standards</x:v>
      </x:c>
      <x:c r="Z126" s="32" t="str">
        <x:v>https://sarai.ph/</x:v>
      </x:c>
      <x:c r="AA126" s="32" t="str">
        <x:v>https://www.pcaarrd.dost.gov.ph/index.php/quick-information-dispatch-qid-articles/dost-pcaarrd-supported-r-d-initiatives-showcased-at-iscene-2024s-breakout-sessions</x:v>
      </x:c>
      <x:c r="AB126" s="30" t="str">
        <x:v>2026-07-13</x:v>
      </x:c>
      <x:c r="AC126" s="30" t="str">
        <x:v>Medium</x:v>
      </x:c>
      <x:c r="AD126" s="26" t="str"/>
      <x:c r="AE126" s="26" t="str">
        <x:v>Advisory &amp; e-extension; Climate, weather &amp; early warning; Data infrastructure, interoperability &amp; dashboards</x:v>
      </x:c>
      <x:c r="AF126" s="26" t="str">
        <x:v>Advisory &amp; e-extension; Climate, weather &amp; early warning; Pest, disease &amp; biosecurity; Data infrastructure, interoperability &amp; dashboards</x:v>
      </x:c>
      <x:c r="AG126" s="26" t="str">
        <x:v>Corn / maize; Coconut; Banana; Coffee; Cacao; Sugarcane; Vegetables</x:v>
      </x:c>
      <x:c r="AH126" s="26" t="str">
        <x:v>Animal/plant health &amp; biosecurity</x:v>
      </x:c>
      <x:c r="AI126" s="26" t="str">
        <x:v>Digital service — unspecified stack</x:v>
      </x:c>
      <x:c r="AJ126" s="30" t="n">
        <x:f>IF(AF126="","",LEN(AF126)-LEN(SUBSTITUTE(AF126,";",""))+1)</x:f>
        <x:v>4</x:v>
      </x:c>
      <x:c r="AK126" s="26" t="str">
        <x:v>Not dedicated</x:v>
      </x:c>
    </x:row>
    <x:row r="127" ht="56" customHeight="1">
      <x:c r="A127" s="26" t="str">
        <x:v>D2-123</x:v>
      </x:c>
      <x:c r="B127" s="26" t="str">
        <x:v>Coffee Automated Phenology and Harvest Estimator</x:v>
      </x:c>
      <x:c r="C127" s="26" t="str">
        <x:v>CAPHE</x:v>
      </x:c>
      <x:c r="D127" s="26" t="str">
        <x:v>UP Los Baños / Project SARAi / DOST-PCAARRD</x:v>
      </x:c>
      <x:c r="E127" s="26" t="str">
        <x:v>SUC–government research partnership</x:v>
      </x:c>
      <x:c r="F127" s="26" t="str">
        <x:v>Coffee</x:v>
      </x:c>
      <x:c r="G127" s="26" t="str">
        <x:v>Philippines / project areas</x:v>
      </x:c>
      <x:c r="H127" s="26" t="str">
        <x:v>Harvest planning and crop phenology</x:v>
      </x:c>
      <x:c r="I127" s="26" t="str">
        <x:v>Information and advisory services</x:v>
      </x:c>
      <x:c r="J127" s="26" t="str">
        <x:v>Farm management &amp; decision support</x:v>
      </x:c>
      <x:c r="K127" s="26" t="str">
        <x:v>Science-based estimation of coffee crop-development stages and harvest timing</x:v>
      </x:c>
      <x:c r="L127" s="26" t="str">
        <x:v>Mobile/digital phenology model</x:v>
      </x:c>
      <x:c r="M127" s="26" t="str">
        <x:v>Coffee farmers, extension workers and planners</x:v>
      </x:c>
      <x:c r="N127" s="30" t="str">
        <x:v>Yes</x:v>
      </x:c>
      <x:c r="O127" s="30" t="str">
        <x:v>Yes</x:v>
      </x:c>
      <x:c r="P127" s="30" t="str">
        <x:v>Indirect</x:v>
      </x:c>
      <x:c r="Q127" s="26" t="str">
        <x:v>Research prototype / predecessor technology</x:v>
      </x:c>
      <x:c r="R127" s="26" t="str">
        <x:v>Status unverified</x:v>
      </x:c>
      <x:c r="S127" s="26" t="str">
        <x:v>Cited by DOST-PCAARRD as a 2020 SARAi harvest-time estimation tool</x:v>
      </x:c>
      <x:c r="T127" s="26" t="str">
        <x:v>Commodity-specific harvest-planning logic</x:v>
      </x:c>
      <x:c r="U127" s="26" t="str">
        <x:v>Linear-model limitations, current distribution, climate responsiveness and maintenance</x:v>
      </x:c>
      <x:c r="V127" s="26" t="str">
        <x:v>No public repo/API was located; it is a predecessor concept for YABONG</x:v>
      </x:c>
      <x:c r="W127" s="26" t="str">
        <x:v>Coffee phenology model and historical prototype</x:v>
      </x:c>
      <x:c r="X127" s="30" t="str">
        <x:v>Low</x:v>
      </x:c>
      <x:c r="Y127" s="26" t="str">
        <x:v>Retain as a research lineage; migrate validated logic and data to maintained services such as YABONG</x:v>
      </x:c>
      <x:c r="Z127" s="32" t="str">
        <x:v>https://www.pcaarrd.dost.gov.ph/index.php/ts-documents/approved-budget-and-corresponding-targets/bp-forms/bp-forms-1/5200-proposed-tier-2-budget-level-for-fy-2027/file</x:v>
      </x:c>
      <x:c r="AA127" s="32" t="str">
        <x:v>https://sarai.ph/</x:v>
      </x:c>
      <x:c r="AB127" s="30" t="str">
        <x:v>2026-07-13</x:v>
      </x:c>
      <x:c r="AC127" s="30" t="str">
        <x:v>Medium</x:v>
      </x:c>
      <x:c r="AD127" s="26" t="str"/>
      <x:c r="AE127" s="26" t="str">
        <x:v>Advisory &amp; e-extension; Precision agriculture, EO, drones &amp; IoT</x:v>
      </x:c>
      <x:c r="AF127" s="26" t="str">
        <x:v>Advisory &amp; e-extension; Farm management &amp; decision support; Precision agriculture, EO, drones &amp; IoT</x:v>
      </x:c>
      <x:c r="AG127" s="26" t="str">
        <x:v>Coffee</x:v>
      </x:c>
      <x:c r="AH127" s="26" t="str">
        <x:v>R&amp;D, breeding &amp; genetic resources; Production &amp; farm management; Harvest &amp; postharvest; Extension, training &amp; support</x:v>
      </x:c>
      <x:c r="AI127" s="26" t="str">
        <x:v>Mobile / Android</x:v>
      </x:c>
      <x:c r="AJ127" s="30" t="n">
        <x:f>IF(AF127="","",LEN(AF127)-LEN(SUBSTITUTE(AF127,";",""))+1)</x:f>
        <x:v>3</x:v>
      </x:c>
      <x:c r="AK127" s="26" t="str">
        <x:v>Not dedicated</x:v>
      </x:c>
    </x:row>
    <x:row r="128" ht="56" customHeight="1">
      <x:c r="A128" s="26" t="str">
        <x:v>D2-124</x:v>
      </x:c>
      <x:c r="B128" s="26" t="str">
        <x:v>Banana Harvest Estimation Tool</x:v>
      </x:c>
      <x:c r="C128" s="26" t="str">
        <x:v>BanaTech</x:v>
      </x:c>
      <x:c r="D128" s="26" t="str">
        <x:v>UP Los Baños / Project SARAi / DOST-PCAARRD</x:v>
      </x:c>
      <x:c r="E128" s="26" t="str">
        <x:v>SUC–government research partnership</x:v>
      </x:c>
      <x:c r="F128" s="26" t="str">
        <x:v>Banana</x:v>
      </x:c>
      <x:c r="G128" s="26" t="str">
        <x:v>Philippines / project areas</x:v>
      </x:c>
      <x:c r="H128" s="26" t="str">
        <x:v>Harvest planning and crop phenology</x:v>
      </x:c>
      <x:c r="I128" s="26" t="str">
        <x:v>Information and advisory services</x:v>
      </x:c>
      <x:c r="J128" s="26" t="str">
        <x:v>Farm management &amp; decision support</x:v>
      </x:c>
      <x:c r="K128" s="26" t="str">
        <x:v>Science-based estimation of banana crop-development stages and harvest timing</x:v>
      </x:c>
      <x:c r="L128" s="26" t="str">
        <x:v>Mobile/digital phenology model</x:v>
      </x:c>
      <x:c r="M128" s="26" t="str">
        <x:v>Banana farmers, plantations, extension workers and planners</x:v>
      </x:c>
      <x:c r="N128" s="30" t="str">
        <x:v>Yes</x:v>
      </x:c>
      <x:c r="O128" s="30" t="str">
        <x:v>Yes</x:v>
      </x:c>
      <x:c r="P128" s="30" t="str">
        <x:v>Indirect</x:v>
      </x:c>
      <x:c r="Q128" s="26" t="str">
        <x:v>Research prototype / predecessor technology</x:v>
      </x:c>
      <x:c r="R128" s="26" t="str">
        <x:v>Status unverified</x:v>
      </x:c>
      <x:c r="S128" s="26" t="str">
        <x:v>Cited by DOST-PCAARRD as a 2021 SARAi harvest-time estimation tool</x:v>
      </x:c>
      <x:c r="T128" s="26" t="str">
        <x:v>Commodity-specific harvest-planning logic</x:v>
      </x:c>
      <x:c r="U128" s="26" t="str">
        <x:v>Linear-model limits, current availability, local calibration and maintenance</x:v>
      </x:c>
      <x:c r="V128" s="26" t="str">
        <x:v>No public source repository or API was located; predecessor to more adaptive tools</x:v>
      </x:c>
      <x:c r="W128" s="26" t="str">
        <x:v>Banana phenology model and historical prototype</x:v>
      </x:c>
      <x:c r="X128" s="30" t="str">
        <x:v>Low</x:v>
      </x:c>
      <x:c r="Y128" s="26" t="str">
        <x:v>Document model, data and validation before reuse in maintained banana analytics</x:v>
      </x:c>
      <x:c r="Z128" s="32" t="str">
        <x:v>https://www.pcaarrd.dost.gov.ph/index.php/ts-documents/approved-budget-and-corresponding-targets/bp-forms/bp-forms-1/5200-proposed-tier-2-budget-level-for-fy-2027/file</x:v>
      </x:c>
      <x:c r="AA128" s="32" t="str">
        <x:v>https://sarai.ph/</x:v>
      </x:c>
      <x:c r="AB128" s="30" t="str">
        <x:v>2026-07-13</x:v>
      </x:c>
      <x:c r="AC128" s="30" t="str">
        <x:v>Medium</x:v>
      </x:c>
      <x:c r="AD128" s="26" t="str"/>
      <x:c r="AE128" s="26" t="str">
        <x:v>Advisory &amp; e-extension</x:v>
      </x:c>
      <x:c r="AF128" s="26" t="str">
        <x:v>Advisory &amp; e-extension; Farm management &amp; decision support</x:v>
      </x:c>
      <x:c r="AG128" s="26" t="str">
        <x:v>Banana</x:v>
      </x:c>
      <x:c r="AH128" s="26" t="str">
        <x:v>R&amp;D, breeding &amp; genetic resources; Production &amp; farm management; Harvest &amp; postharvest; Extension, training &amp; support</x:v>
      </x:c>
      <x:c r="AI128" s="26" t="str">
        <x:v>Mobile / Android</x:v>
      </x:c>
      <x:c r="AJ128" s="30" t="n">
        <x:f>IF(AF128="","",LEN(AF128)-LEN(SUBSTITUTE(AF128,";",""))+1)</x:f>
        <x:v>2</x:v>
      </x:c>
      <x:c r="AK128" s="26" t="str">
        <x:v>Not dedicated</x:v>
      </x:c>
    </x:row>
    <x:row r="129" ht="56" customHeight="1">
      <x:c r="A129" s="26" t="str">
        <x:v>D2-125</x:v>
      </x:c>
      <x:c r="B129" s="26" t="str">
        <x:v>Traco Cacao Traceability Application</x:v>
      </x:c>
      <x:c r="C129" s="26" t="str">
        <x:v>Traco</x:v>
      </x:c>
      <x:c r="D129" s="26" t="str">
        <x:v>University of Southeastern Philippines / DOST-PCAARRD / BARBCO</x:v>
      </x:c>
      <x:c r="E129" s="26" t="str">
        <x:v>SUC–government–cooperative partnership</x:v>
      </x:c>
      <x:c r="F129" s="26" t="str">
        <x:v>Cacao</x:v>
      </x:c>
      <x:c r="G129" s="26" t="str">
        <x:v>Southern Philippines</x:v>
      </x:c>
      <x:c r="H129" s="26" t="str">
        <x:v>Transactions, price monitoring, records and traceability</x:v>
      </x:c>
      <x:c r="I129" s="26" t="str">
        <x:v>E-commerce / traceability</x:v>
      </x:c>
      <x:c r="J129" s="26" t="str">
        <x:v>Traceability, food safety &amp; MRV</x:v>
      </x:c>
      <x:c r="K129" s="26" t="str">
        <x:v>Digital cacao transaction, price, farmer-record and blockchain-backed traceability system</x:v>
      </x:c>
      <x:c r="L129" s="26" t="str">
        <x:v>Mobile app, distributed ledger and exportable records</x:v>
      </x:c>
      <x:c r="M129" s="26" t="str">
        <x:v>Cacao farmers, consolidators, cooperative and traders</x:v>
      </x:c>
      <x:c r="N129" s="30" t="str">
        <x:v>Yes</x:v>
      </x:c>
      <x:c r="O129" s="30" t="str">
        <x:v>Indirect</x:v>
      </x:c>
      <x:c r="P129" s="30" t="str">
        <x:v>Indirect</x:v>
      </x:c>
      <x:c r="Q129" s="26" t="str">
        <x:v>Completed prototype / commercialization transfer</x:v>
      </x:c>
      <x:c r="R129" s="26" t="str">
        <x:v>Pilot / technology transfer</x:v>
      </x:c>
      <x:c r="S129" s="26" t="str">
        <x:v>102 farmers and consolidators were trained; cooperative received temporary exclusive commercialization rights</x:v>
      </x:c>
      <x:c r="T129" s="26" t="str">
        <x:v>Strong value-chain partnership, user training and data-extraction use case</x:v>
      </x:c>
      <x:c r="U129" s="26" t="str">
        <x:v>Commercialization terms, interoperability, ledger governance, smallholder burden and long-term support</x:v>
      </x:c>
      <x:c r="V129" s="26" t="str">
        <x:v>Extractable farmer lists and DLT storage are documented; source code, API and ledger specifications are not public</x:v>
      </x:c>
      <x:c r="W129" s="26" t="str">
        <x:v>Commodity traceability and cooperative connector</x:v>
      </x:c>
      <x:c r="X129" s="30" t="str">
        <x:v>High</x:v>
      </x:c>
      <x:c r="Y129" s="26" t="str">
        <x:v>Map CTE/KDE events to open traceability schemas and preserve cooperative/farmer data rights</x:v>
      </x:c>
      <x:c r="Z129" s="32" t="str">
        <x:v>https://www.pcaarrd.dost.gov.ph/index.php/quick-information-dispatch-qid-articles/dost-pcaarrd-and-usep-advance-cacao-traceability-system-in-southern-philippines</x:v>
      </x:c>
      <x:c r="AA129" s="32" t="str"/>
      <x:c r="AB129" s="30" t="str">
        <x:v>2026-07-13</x:v>
      </x:c>
      <x:c r="AC129" s="30" t="str">
        <x:v>High</x:v>
      </x:c>
      <x:c r="AD129" s="26" t="str"/>
      <x:c r="AE129" s="26" t="str">
        <x:v>Markets, e-commerce &amp; logistics</x:v>
      </x:c>
      <x:c r="AF129" s="26" t="str">
        <x:v>Markets, e-commerce &amp; logistics; Traceability, food safety &amp; MRV</x:v>
      </x:c>
      <x:c r="AG129" s="26" t="str">
        <x:v>Rice / palay; Cacao</x:v>
      </x:c>
      <x:c r="AH129" s="26" t="str">
        <x:v>Production &amp; farm management; Processing &amp; quality; Markets &amp; trade; Traceability, compliance &amp; MRV</x:v>
      </x:c>
      <x:c r="AI129" s="26" t="str">
        <x:v>Mobile / Android; Blockchain / DLT</x:v>
      </x:c>
      <x:c r="AJ129" s="30" t="n">
        <x:f>IF(AF129="","",LEN(AF129)-LEN(SUBSTITUTE(AF129,";",""))+1)</x:f>
        <x:v>2</x:v>
      </x:c>
      <x:c r="AK129" s="26" t="str">
        <x:v>Not dedicated</x:v>
      </x:c>
    </x:row>
    <x:row r="130" ht="56" customHeight="1">
      <x:c r="A130" s="26" t="str">
        <x:v>D2-126</x:v>
      </x:c>
      <x:c r="B130" s="26" t="str">
        <x:v>TALA Isdaan Fishpond Lease Agreement Monitoring System</x:v>
      </x:c>
      <x:c r="C130" s="26" t="str">
        <x:v>TALA Isdaan</x:v>
      </x:c>
      <x:c r="D130" s="26" t="str">
        <x:v>UP Los Baños / DOST-PCAARRD and fisheries partners</x:v>
      </x:c>
      <x:c r="E130" s="26" t="str">
        <x:v>SUC–government research partnership</x:v>
      </x:c>
      <x:c r="F130" s="26" t="str">
        <x:v>Aquaculture and fishpond lease governance</x:v>
      </x:c>
      <x:c r="G130" s="26" t="str">
        <x:v>Philippines / FLA areas</x:v>
      </x:c>
      <x:c r="H130" s="26" t="str">
        <x:v>Lease-area monitoring, mapping and governance</x:v>
      </x:c>
      <x:c r="I130" s="26" t="str">
        <x:v>Decision support / computer-enabled systems</x:v>
      </x:c>
      <x:c r="J130" s="26" t="str">
        <x:v>Fisheries &amp; aquaculture</x:v>
      </x:c>
      <x:c r="K130" s="26" t="str">
        <x:v>Interactive map and mobile application for real-time monitoring of Fishpond Lease Agreement areas</x:v>
      </x:c>
      <x:c r="L130" s="26" t="str">
        <x:v>Mobile app, WebGIS, real-time data and spatial visualization</x:v>
      </x:c>
      <x:c r="M130" s="26" t="str">
        <x:v>BFAR, LGUs, leaseholders, planners and researchers</x:v>
      </x:c>
      <x:c r="N130" s="30" t="str">
        <x:v>Indirect</x:v>
      </x:c>
      <x:c r="O130" s="30" t="str">
        <x:v>Yes</x:v>
      </x:c>
      <x:c r="P130" s="30" t="str">
        <x:v>Indirect</x:v>
      </x:c>
      <x:c r="Q130" s="26" t="str">
        <x:v>Advanced research output / demonstration</x:v>
      </x:c>
      <x:c r="R130" s="26" t="str">
        <x:v>Pilot / emerging</x:v>
      </x:c>
      <x:c r="S130" s="26" t="str">
        <x:v>Showcased at the 2025 National Science and Technology Week in a 2026 PCAARRD report</x:v>
      </x:c>
      <x:c r="T130" s="26" t="str">
        <x:v>Combines mobile field information with spatial governance</x:v>
      </x:c>
      <x:c r="U130" s="26" t="str">
        <x:v>Authoritative FLA records, field validation, hosting, user roles and linkage to BFAR licensing</x:v>
      </x:c>
      <x:c r="V130" s="26" t="str">
        <x:v>Mobile–interactive map integration is explicit; public source, APIs and schemas are not</x:v>
      </x:c>
      <x:c r="W130" s="26" t="str">
        <x:v>Aquaculture lease and spatial-monitoring connector</x:v>
      </x:c>
      <x:c r="X130" s="30" t="str">
        <x:v>High</x:v>
      </x:c>
      <x:c r="Y130" s="26" t="str">
        <x:v>Link authoritative FLA IDs and BFAR records; standardize boundaries, status, observations and evidence</x:v>
      </x:c>
      <x:c r="Z130" s="32" t="str">
        <x:v>https://www.pcaarrd.dost.gov.ph/index.php/quick-information-dispatch-qid-articles/advancing-sustainable-farming-dost-pcaarrd-features-smart-agri-aqua-technologies-at-the-2025-nstw</x:v>
      </x:c>
      <x:c r="AA130" s="32" t="str"/>
      <x:c r="AB130" s="30" t="str">
        <x:v>2026-07-13</x:v>
      </x:c>
      <x:c r="AC130" s="30" t="str">
        <x:v>High</x:v>
      </x:c>
      <x:c r="AD130" s="26" t="str"/>
      <x:c r="AE130" s="26" t="str">
        <x:v>Precision agriculture, EO, drones &amp; IoT</x:v>
      </x:c>
      <x:c r="AF130" s="26" t="str">
        <x:v>Precision agriculture, EO, drones &amp; IoT; Fisheries &amp; aquaculture</x:v>
      </x:c>
      <x:c r="AG130" s="26" t="str">
        <x:v>Fisheries &amp; aquaculture</x:v>
      </x:c>
      <x:c r="AH130" s="26" t="str">
        <x:v>Production &amp; farm management</x:v>
      </x:c>
      <x:c r="AI130" s="26" t="str">
        <x:v>Web / portal; Mobile / Android; Dashboard / analytics</x:v>
      </x:c>
      <x:c r="AJ130" s="30" t="n">
        <x:f>IF(AF130="","",LEN(AF130)-LEN(SUBSTITUTE(AF130,";",""))+1)</x:f>
        <x:v>2</x:v>
      </x:c>
      <x:c r="AK130" s="26" t="str">
        <x:v>Not dedicated</x:v>
      </x:c>
    </x:row>
    <x:row r="131" ht="56" customHeight="1">
      <x:c r="A131" s="26" t="str">
        <x:v>D2-127</x:v>
      </x:c>
      <x:c r="B131" s="26" t="str">
        <x:v>Pig Identification and Recording System</x:v>
      </x:c>
      <x:c r="C131" s="26" t="str">
        <x:v>PIgS</x:v>
      </x:c>
      <x:c r="D131" s="26" t="str">
        <x:v>DA-Agricultural Training Institute – International Training Center on Pig Husbandry</x:v>
      </x:c>
      <x:c r="E131" s="26" t="str">
        <x:v>National government training institution</x:v>
      </x:c>
      <x:c r="F131" s="26" t="str">
        <x:v>Swine</x:v>
      </x:c>
      <x:c r="G131" s="26" t="str">
        <x:v>Philippines / deployment cohorts</x:v>
      </x:c>
      <x:c r="H131" s="26" t="str">
        <x:v>Pig identification and farm-record management</x:v>
      </x:c>
      <x:c r="I131" s="26" t="str">
        <x:v>Information and advisory services</x:v>
      </x:c>
      <x:c r="J131" s="26" t="str">
        <x:v>Farm management &amp; decision support</x:v>
      </x:c>
      <x:c r="K131" s="26" t="str">
        <x:v>Stores and organizes pig-farm identification, production and management records</x:v>
      </x:c>
      <x:c r="L131" s="26" t="str">
        <x:v>Mobile application</x:v>
      </x:c>
      <x:c r="M131" s="26" t="str">
        <x:v>Pig farmers, farm managers and livestock trainees</x:v>
      </x:c>
      <x:c r="N131" s="30" t="str">
        <x:v>Yes</x:v>
      </x:c>
      <x:c r="O131" s="30" t="str">
        <x:v>Indirect</x:v>
      </x:c>
      <x:c r="P131" s="30" t="str">
        <x:v>Indirect</x:v>
      </x:c>
      <x:c r="Q131" s="26" t="str">
        <x:v>Newly launched operational training tool</x:v>
      </x:c>
      <x:c r="R131" s="26" t="str">
        <x:v>Active / deployment</x:v>
      </x:c>
      <x:c r="S131" s="26" t="str">
        <x:v>Launched March 2025 and followed by deployment activities in April 2025</x:v>
      </x:c>
      <x:c r="T131" s="26" t="str">
        <x:v>Direct practical record-management function backed by a specialized training center</x:v>
      </x:c>
      <x:c r="U131" s="26" t="str">
        <x:v>Distribution channel, data backup/export, animal ID standards, updates and linkage to BAI systems</x:v>
      </x:c>
      <x:c r="V131" s="26" t="str">
        <x:v>No official source repository, API documentation or data-export specification was located</x:v>
      </x:c>
      <x:c r="W131" s="26" t="str">
        <x:v>Swine farm-record and animal-ID module</x:v>
      </x:c>
      <x:c r="X131" s="30" t="str">
        <x:v>High</x:v>
      </x:c>
      <x:c r="Y131" s="26" t="str">
        <x:v>Adopt standard premises/animal/event IDs and assess linkage to BAI registration and animal-health systems</x:v>
      </x:c>
      <x:c r="Z131" s="32" t="str">
        <x:v>https://ati2.da.gov.ph/ati-main/content/article/kim-maverick-c-narvaez/2025-sustainable-agriculture-forum-highlights-innovative-solutions</x:v>
      </x:c>
      <x:c r="AA131" s="32" t="str">
        <x:v>https://www.facebook.com/InternationalTrainingCenteronPigHusbandry/posts/1043782947773025/</x:v>
      </x:c>
      <x:c r="AB131" s="30" t="str">
        <x:v>2026-07-13</x:v>
      </x:c>
      <x:c r="AC131" s="30" t="str">
        <x:v>High</x:v>
      </x:c>
      <x:c r="AD131" s="26" t="str"/>
      <x:c r="AE131" s="26" t="str">
        <x:v>Registry &amp; digital identity; Data infrastructure, interoperability &amp; dashboards</x:v>
      </x:c>
      <x:c r="AF131" s="26" t="str">
        <x:v>Registry &amp; digital identity; Farm management &amp; decision support; Data infrastructure, interoperability &amp; dashboards</x:v>
      </x:c>
      <x:c r="AG131" s="26" t="str">
        <x:v>Swine / native pig</x:v>
      </x:c>
      <x:c r="AH131" s="26" t="str">
        <x:v>Registration &amp; identity; Production &amp; farm management; Extension, training &amp; support</x:v>
      </x:c>
      <x:c r="AI131" s="26" t="str">
        <x:v>Mobile / Android</x:v>
      </x:c>
      <x:c r="AJ131" s="30" t="n">
        <x:f>IF(AF131="","",LEN(AF131)-LEN(SUBSTITUTE(AF131,";",""))+1)</x:f>
        <x:v>3</x:v>
      </x:c>
      <x:c r="AK131" s="26" t="str">
        <x:v>Dedicated — swine/native pig</x:v>
      </x:c>
    </x:row>
    <x:row r="132" ht="56" customHeight="1">
      <x:c r="A132" s="26" t="str">
        <x:v>D2-128</x:v>
      </x:c>
      <x:c r="B132" s="26" t="str">
        <x:v>Agri 360 Learning Sites Mapping Platform</x:v>
      </x:c>
      <x:c r="C132" s="26" t="str">
        <x:v>Agri 360</x:v>
      </x:c>
      <x:c r="D132" s="26" t="str">
        <x:v>DA-Agricultural Training Institute Region IV-A</x:v>
      </x:c>
      <x:c r="E132" s="26" t="str">
        <x:v>Regional government training institution</x:v>
      </x:c>
      <x:c r="F132" s="26" t="str">
        <x:v>Cross-sector learning farms</x:v>
      </x:c>
      <x:c r="G132" s="26" t="str">
        <x:v>CALABARZON / Region IV-A</x:v>
      </x:c>
      <x:c r="H132" s="26" t="str">
        <x:v>Training-site discovery, virtual tours and technology promotion</x:v>
      </x:c>
      <x:c r="I132" s="26" t="str">
        <x:v>Information and advisory services</x:v>
      </x:c>
      <x:c r="J132" s="26" t="str">
        <x:v>Training, capacity &amp; innovation hubs</x:v>
      </x:c>
      <x:c r="K132" s="26" t="str">
        <x:v>Maps Learning Sites for Agriculture and provides 360-degree farm tours and featured technologies</x:v>
      </x:c>
      <x:c r="L132" s="26" t="str">
        <x:v>Web mapping and virtual 360-degree content</x:v>
      </x:c>
      <x:c r="M132" s="26" t="str">
        <x:v>Farmers, trainees, extension workers, schools and visitors</x:v>
      </x:c>
      <x:c r="N132" s="30" t="str">
        <x:v>Indirect</x:v>
      </x:c>
      <x:c r="O132" s="30" t="str">
        <x:v>Yes</x:v>
      </x:c>
      <x:c r="P132" s="30" t="str">
        <x:v>Indirect</x:v>
      </x:c>
      <x:c r="Q132" s="26" t="str">
        <x:v>Operational regional platform</x:v>
      </x:c>
      <x:c r="R132" s="26" t="str">
        <x:v>Active / operational</x:v>
      </x:c>
      <x:c r="S132" s="26" t="str">
        <x:v>Featured in the 2025 Sustainable Agriculture Forum</x:v>
      </x:c>
      <x:c r="T132" s="26" t="str">
        <x:v>Makes physical learning sites and technologies digitally discoverable</x:v>
      </x:c>
      <x:c r="U132" s="26" t="str">
        <x:v>Content updates, accessibility, user analytics, integration with national training records and scale beyond Region IV-A</x:v>
      </x:c>
      <x:c r="V132" s="26" t="str">
        <x:v>Geospatial/content platform is evident; no public API or source repository identified</x:v>
      </x:c>
      <x:c r="W132" s="26" t="str">
        <x:v>Training-site directory and referral layer</x:v>
      </x:c>
      <x:c r="X132" s="30" t="str">
        <x:v>Medium</x:v>
      </x:c>
      <x:c r="Y132" s="26" t="str">
        <x:v>Federate site metadata, courses, technologies and schedules with ATI/e-Extension and SINAG</x:v>
      </x:c>
      <x:c r="Z132" s="32" t="str">
        <x:v>https://ati-main.da.gov.ph/ati-main/latest-news/2025-sustainable-agriculture-forum-highlights-innovative-solutions-resilience-and</x:v>
      </x:c>
      <x:c r="AA132" s="32" t="str"/>
      <x:c r="AB132" s="30" t="str">
        <x:v>2026-07-13</x:v>
      </x:c>
      <x:c r="AC132" s="30" t="str">
        <x:v>High</x:v>
      </x:c>
      <x:c r="AD132" s="26" t="str"/>
      <x:c r="AE132" s="26" t="str">
        <x:v>Registry &amp; digital identity; Advisory &amp; e-extension</x:v>
      </x:c>
      <x:c r="AF132" s="26" t="str">
        <x:v>Registry &amp; digital identity; Advisory &amp; e-extension; Training, capacity &amp; innovation hubs</x:v>
      </x:c>
      <x:c r="AG132" s="26" t="str">
        <x:v>Cross-sector</x:v>
      </x:c>
      <x:c r="AH132" s="26" t="str">
        <x:v>Extension, training &amp; support</x:v>
      </x:c>
      <x:c r="AI132" s="26" t="str">
        <x:v>Web / portal; GIS / WebGIS</x:v>
      </x:c>
      <x:c r="AJ132" s="30" t="n">
        <x:f>IF(AF132="","",LEN(AF132)-LEN(SUBSTITUTE(AF132,";",""))+1)</x:f>
        <x:v>3</x:v>
      </x:c>
      <x:c r="AK132" s="26" t="str">
        <x:v>Not dedicated</x:v>
      </x:c>
    </x:row>
    <x:row r="133" ht="56" customHeight="1">
      <x:c r="A133" s="26" t="str">
        <x:v>D2-129</x:v>
      </x:c>
      <x:c r="B133" s="26" t="str">
        <x:v>DOST-PCAARRD Agri-Aqua Business Hub</x:v>
      </x:c>
      <x:c r="C133" s="26" t="str">
        <x:v>Agri-Aqua Business Hub</x:v>
      </x:c>
      <x:c r="D133" s="26" t="str">
        <x:v>DOST-PCAARRD and regional partners</x:v>
      </x:c>
      <x:c r="E133" s="26" t="str">
        <x:v>National government R&amp;D and market-support partnership</x:v>
      </x:c>
      <x:c r="F133" s="26" t="str">
        <x:v>Vegetables, tropical fruits and agri-aqua value chains</x:v>
      </x:c>
      <x:c r="G133" s="26" t="str">
        <x:v>Region IV-A with planned CAR scale-out</x:v>
      </x:c>
      <x:c r="H133" s="26" t="str">
        <x:v>Market intelligence, advisory and value-chain linkage</x:v>
      </x:c>
      <x:c r="I133" s="26" t="str">
        <x:v>E-commerce</x:v>
      </x:c>
      <x:c r="J133" s="26" t="str">
        <x:v>Markets, e-commerce &amp; logistics</x:v>
      </x:c>
      <x:c r="K133" s="26" t="str">
        <x:v>Collects and disseminates prices, volume, demand, standards and technology information while connecting value-chain actors</x:v>
      </x:c>
      <x:c r="L133" s="26" t="str">
        <x:v>Database, market information service and stakeholder forum</x:v>
      </x:c>
      <x:c r="M133" s="26" t="str">
        <x:v>Farmers, enterprises, buyers, policy makers and investors</x:v>
      </x:c>
      <x:c r="N133" s="30" t="str">
        <x:v>Indirect</x:v>
      </x:c>
      <x:c r="O133" s="30" t="str">
        <x:v>Yes</x:v>
      </x:c>
      <x:c r="P133" s="30" t="str">
        <x:v>Indirect</x:v>
      </x:c>
      <x:c r="Q133" s="26" t="str">
        <x:v>Operational / scaling program</x:v>
      </x:c>
      <x:c r="R133" s="26" t="str">
        <x:v>Scaling / expansion planned</x:v>
      </x:c>
      <x:c r="S133" s="26" t="str">
        <x:v>Official 2027 proposal describes scale-out from Region IV-A to CAR</x:v>
      </x:c>
      <x:c r="T133" s="26" t="str">
        <x:v>Combines market services, technical information and value-chain convening</x:v>
      </x:c>
      <x:c r="U133" s="26" t="str">
        <x:v>Current platform access, transaction conversion, governance, data freshness and interoperability</x:v>
      </x:c>
      <x:c r="V133" s="26" t="str">
        <x:v>Database expansion and information exchange are intended; public API/source documentation was not located</x:v>
      </x:c>
      <x:c r="W133" s="26" t="str">
        <x:v>Market-intelligence and business-referral node</x:v>
      </x:c>
      <x:c r="X133" s="30" t="str">
        <x:v>Medium</x:v>
      </x:c>
      <x:c r="Y133" s="26" t="str">
        <x:v>Integrate verified market signals and referrals; avoid duplicating private transactional marketplaces</x:v>
      </x:c>
      <x:c r="Z133" s="32" t="str">
        <x:v>https://www.pcaarrd.dost.gov.ph/index.php/ts-documents/approved-budget-and-corresponding-targets/bp-forms/bp-forms-1/5200-proposed-tier-2-budget-level-for-fy-2027/file</x:v>
      </x:c>
      <x:c r="AA133" s="32" t="str"/>
      <x:c r="AB133" s="30" t="str">
        <x:v>2026-07-13</x:v>
      </x:c>
      <x:c r="AC133" s="30" t="str">
        <x:v>High</x:v>
      </x:c>
      <x:c r="AD133" s="26" t="str"/>
      <x:c r="AE133" s="26" t="str">
        <x:v>Advisory &amp; e-extension; Data infrastructure, interoperability &amp; dashboards</x:v>
      </x:c>
      <x:c r="AF133" s="26" t="str">
        <x:v>Advisory &amp; e-extension; Markets, e-commerce &amp; logistics; Data infrastructure, interoperability &amp; dashboards</x:v>
      </x:c>
      <x:c r="AG133" s="26" t="str">
        <x:v>Rice / palay; Vegetables</x:v>
      </x:c>
      <x:c r="AH133" s="26" t="str">
        <x:v>Logistics &amp; distribution; Markets &amp; trade; Extension, training &amp; support</x:v>
      </x:c>
      <x:c r="AI133" s="26" t="str">
        <x:v>Database / MIS</x:v>
      </x:c>
      <x:c r="AJ133" s="30" t="n">
        <x:f>IF(AF133="","",LEN(AF133)-LEN(SUBSTITUTE(AF133,";",""))+1)</x:f>
        <x:v>3</x:v>
      </x:c>
      <x:c r="AK133" s="26" t="str">
        <x:v>Not dedicated</x:v>
      </x:c>
    </x:row>
    <x:row r="134" ht="56" customHeight="1">
      <x:c r="A134" s="26" t="str">
        <x:v>D2-130</x:v>
      </x:c>
      <x:c r="B134" s="26" t="str">
        <x:v>Yield Analytics for AgriBusiness Optimization and Networking Guide</x:v>
      </x:c>
      <x:c r="C134" s="26" t="str">
        <x:v>YABONG</x:v>
      </x:c>
      <x:c r="D134" s="26" t="str">
        <x:v>DOST-PCAARRD and implementing research partners</x:v>
      </x:c>
      <x:c r="E134" s="26" t="str">
        <x:v>Government R&amp;D program</x:v>
      </x:c>
      <x:c r="F134" s="26" t="str">
        <x:v>Coffee Phase 1; potentially extensible</x:v>
      </x:c>
      <x:c r="G134" s="26" t="str">
        <x:v>Philippines / proposed development</x:v>
      </x:c>
      <x:c r="H134" s="26" t="str">
        <x:v>Harvest prediction, yield forecasting, farm records, economics and markets</x:v>
      </x:c>
      <x:c r="I134" s="26" t="str">
        <x:v>Research / prototype</x:v>
      </x:c>
      <x:c r="J134" s="26" t="str">
        <x:v>Farm management &amp; decision support</x:v>
      </x:c>
      <x:c r="K134" s="26" t="str">
        <x:v>Planned mobile decision-support system with harvest-time estimation, yield forecasting, cost-return analysis and market linkage</x:v>
      </x:c>
      <x:c r="L134" s="26" t="str">
        <x:v>Mobile application and predictive models</x:v>
      </x:c>
      <x:c r="M134" s="26" t="str">
        <x:v>Smallholder coffee farmers, extension workers and market actors</x:v>
      </x:c>
      <x:c r="N134" s="30" t="str">
        <x:v>Yes</x:v>
      </x:c>
      <x:c r="O134" s="30" t="str">
        <x:v>Yes</x:v>
      </x:c>
      <x:c r="P134" s="30" t="str">
        <x:v>Indirect</x:v>
      </x:c>
      <x:c r="Q134" s="26" t="str">
        <x:v>Proposed R&amp;D / pipeline</x:v>
      </x:c>
      <x:c r="R134" s="26" t="str">
        <x:v>Planned / not yet operational</x:v>
      </x:c>
      <x:c r="S134" s="26" t="str">
        <x:v>Included as a FY2027 priority proposal</x:v>
      </x:c>
      <x:c r="T134" s="26" t="str">
        <x:v>Integrated decision-support concept explicitly addressing limitations of earlier linear tools</x:v>
      </x:c>
      <x:c r="U134" s="26" t="str">
        <x:v>Funding, training data, ecological model validation, delivery ownership, offline design and market integration</x:v>
      </x:c>
      <x:c r="V134" s="26" t="str">
        <x:v>No source code or APIs yet; interoperability should be designed before development</x:v>
      </x:c>
      <x:c r="W134" s="26" t="str">
        <x:v>Future coffee decision-support module and R&amp;D sandbox</x:v>
      </x:c>
      <x:c r="X134" s="30" t="str">
        <x:v>Medium</x:v>
      </x:c>
      <x:c r="Y134" s="26" t="str">
        <x:v>Require open data schemas, model cards, exportability, offline requirements and integration tests from project inception</x:v>
      </x:c>
      <x:c r="Z134" s="32" t="str">
        <x:v>https://www.pcaarrd.dost.gov.ph/index.php/ts-documents/approved-budget-and-corresponding-targets/bp-forms/bp-forms-1/5200-proposed-tier-2-budget-level-for-fy-2027/file</x:v>
      </x:c>
      <x:c r="AA134" s="32" t="str"/>
      <x:c r="AB134" s="30" t="str">
        <x:v>2026-07-13</x:v>
      </x:c>
      <x:c r="AC134" s="30" t="str">
        <x:v>High</x:v>
      </x:c>
      <x:c r="AD134" s="26" t="str"/>
      <x:c r="AE134" s="26" t="str">
        <x:v>Climate, weather &amp; early warning; Data infrastructure, interoperability &amp; dashboards</x:v>
      </x:c>
      <x:c r="AF134" s="26" t="str">
        <x:v>Farm management &amp; decision support; Climate, weather &amp; early warning; Data infrastructure, interoperability &amp; dashboards</x:v>
      </x:c>
      <x:c r="AG134" s="26" t="str">
        <x:v>Coffee</x:v>
      </x:c>
      <x:c r="AH134" s="26" t="str">
        <x:v>R&amp;D, breeding &amp; genetic resources; Production &amp; farm management; Harvest &amp; postharvest; Markets &amp; trade</x:v>
      </x:c>
      <x:c r="AI134" s="26" t="str">
        <x:v>Mobile / Android; Dashboard / analytics</x:v>
      </x:c>
      <x:c r="AJ134" s="30" t="n">
        <x:f>IF(AF134="","",LEN(AF134)-LEN(SUBSTITUTE(AF134,";",""))+1)</x:f>
        <x:v>3</x:v>
      </x:c>
      <x:c r="AK134" s="26" t="str">
        <x:v>Not dedicated</x:v>
      </x:c>
    </x:row>
    <x:row r="135" ht="56" customHeight="1">
      <x:c r="A135" s="26" t="str">
        <x:v>D2-131</x:v>
      </x:c>
      <x:c r="B135" s="26" t="str">
        <x:v>Intelligent Rubber Insect Pests and Disease Diagnostic</x:v>
      </x:c>
      <x:c r="C135" s="26" t="str">
        <x:v>IRISDD</x:v>
      </x:c>
      <x:c r="D135" s="26" t="str">
        <x:v>Philippine Rubber Research Institute / DOST-PCAARRD and partners</x:v>
      </x:c>
      <x:c r="E135" s="26" t="str">
        <x:v>National research institute–government partnership</x:v>
      </x:c>
      <x:c r="F135" s="26" t="str">
        <x:v>Rubber</x:v>
      </x:c>
      <x:c r="G135" s="26" t="str">
        <x:v>Major rubber-producing regions / online national access</x:v>
      </x:c>
      <x:c r="H135" s="26" t="str">
        <x:v>Pest and disease detection, surveillance, mapping and expert consultation</x:v>
      </x:c>
      <x:c r="I135" s="26" t="str">
        <x:v>Decision support / computer-enabled systems</x:v>
      </x:c>
      <x:c r="J135" s="26" t="str">
        <x:v>Pest, disease &amp; biosecurity</x:v>
      </x:c>
      <x:c r="K135" s="26" t="str">
        <x:v>AI-assisted rubber pest/disease diagnosis, centralized image database, real-time monitoring and online expert clinic</x:v>
      </x:c>
      <x:c r="L135" s="26" t="str">
        <x:v>Android-compatible mobile app, web platform, image classifier, monitoring database and online clinic</x:v>
      </x:c>
      <x:c r="M135" s="26" t="str">
        <x:v>Rubber farmers, cooperatives, LGUs, extension workers and experts</x:v>
      </x:c>
      <x:c r="N135" s="30" t="str">
        <x:v>Yes</x:v>
      </x:c>
      <x:c r="O135" s="30" t="str">
        <x:v>Yes</x:v>
      </x:c>
      <x:c r="P135" s="30" t="str">
        <x:v>Indirect</x:v>
      </x:c>
      <x:c r="Q135" s="26" t="str">
        <x:v>Operational / advanced R&amp;D deployment</x:v>
      </x:c>
      <x:c r="R135" s="26" t="str">
        <x:v>Active / operational</x:v>
      </x:c>
      <x:c r="S135" s="26" t="str">
        <x:v>By February 2026, the system reported 50,000 images and surveillance across 90 rubber plantations</x:v>
      </x:c>
      <x:c r="T135" s="26" t="str">
        <x:v>Combines AI diagnosis, centralized surveillance data and human expert support</x:v>
      </x:c>
      <x:c r="U135" s="26" t="str">
        <x:v>Model generalization, continuous labels, connectivity, expert capacity, governance and integration with crop-protection reporting</x:v>
      </x:c>
      <x:c r="V135" s="26" t="str">
        <x:v>Web/mobile/online-clinic integration is documented; no official public source repository or API specification located</x:v>
      </x:c>
      <x:c r="W135" s="26" t="str">
        <x:v>Rubber biosecurity, diagnostic and surveillance connector</x:v>
      </x:c>
      <x:c r="X135" s="30" t="str">
        <x:v>High</x:v>
      </x:c>
      <x:c r="Y135" s="26" t="str">
        <x:v>Connect anonymized observations, confidence, taxonomy, expert outcomes and alert standards; retain PRRI as model/data authority</x:v>
      </x:c>
      <x:c r="Z135" s="32" t="str">
        <x:v>https://www.pcaarrd.dost.gov.ph/index.php/quick-information-dispatch-qid-articles/artificial-intelligence-based-detection-system-developed-to-manage-rubber-diseases-and-insect-pests</x:v>
      </x:c>
      <x:c r="AA135" s="32" t="str">
        <x:v>https://irisdd.net/about/</x:v>
      </x:c>
      <x:c r="AB135" s="30" t="str">
        <x:v>2026-07-13</x:v>
      </x:c>
      <x:c r="AC135" s="30" t="str">
        <x:v>High</x:v>
      </x:c>
      <x:c r="AD135" s="26" t="str">
        <x:v>A public GitHub/source release was not located; interoperability assessment is based on published platform components.</x:v>
      </x:c>
      <x:c r="AE135" s="26" t="str">
        <x:v>Advisory &amp; e-extension; Data infrastructure, interoperability &amp; dashboards</x:v>
      </x:c>
      <x:c r="AF135" s="26" t="str">
        <x:v>Advisory &amp; e-extension; Pest, disease &amp; biosecurity; Data infrastructure, interoperability &amp; dashboards</x:v>
      </x:c>
      <x:c r="AG135" s="26" t="str">
        <x:v>Rubber</x:v>
      </x:c>
      <x:c r="AH135" s="26" t="str">
        <x:v>Production &amp; farm management; Animal/plant health &amp; biosecurity; Extension, training &amp; support</x:v>
      </x:c>
      <x:c r="AI135" s="26" t="str">
        <x:v>Web / portal; Mobile / Android; Database / MIS; AI / ML / computer vision</x:v>
      </x:c>
      <x:c r="AJ135" s="30" t="n">
        <x:f>IF(AF135="","",LEN(AF135)-LEN(SUBSTITUTE(AF135,";",""))+1)</x:f>
        <x:v>3</x:v>
      </x:c>
      <x:c r="AK135" s="26" t="str">
        <x:v>Not dedicated</x:v>
      </x:c>
    </x:row>
    <x:row r="136" ht="62" customHeight="1">
      <x:c r="A136" s="26" t="str">
        <x:v>D2-132</x:v>
      </x:c>
      <x:c r="B136" s="26" t="str">
        <x:v>Philippine Native Pig Breed Information System</x:v>
      </x:c>
      <x:c r="C136" s="26" t="str">
        <x:v>PAB-IS Native Pigs</x:v>
      </x:c>
      <x:c r="D136" s="26" t="str">
        <x:v>DOST-PCAARRD / UPLB Institute of Animal Science and Institute of Computer Science / institutional breeder farms</x:v>
      </x:c>
      <x:c r="E136" s="26" t="str">
        <x:v>SUC–government research partnership</x:v>
      </x:c>
      <x:c r="F136" s="26" t="str">
        <x:v>Native pig / swine genetic resources and farm records</x:v>
      </x:c>
      <x:c r="G136" s="26" t="str">
        <x:v>Philippines / participating institutional breeder farms</x:v>
      </x:c>
      <x:c r="H136" s="26" t="str">
        <x:v>Breeding, animal identification, farm records and performance reporting</x:v>
      </x:c>
      <x:c r="I136" s="26" t="str">
        <x:v>Decision support / computer-enabled systems</x:v>
      </x:c>
      <x:c r="J136" s="26" t="str">
        <x:v>Farm management &amp; decision support</x:v>
      </x:c>
      <x:c r="K136" s="26" t="str">
        <x:v>Web-based standardized record keeping for animal inventory, pedigree, morphology, growth, reproductive performance, mortality, sales and farm reports</x:v>
      </x:c>
      <x:c r="L136" s="26" t="str">
        <x:v>Web application, role-based dashboard, database and downloadable PDF/CSV reports</x:v>
      </x:c>
      <x:c r="M136" s="26" t="str">
        <x:v>Native pig breeder farms, farm encoders, administrators, researchers, farmers and policy makers</x:v>
      </x:c>
      <x:c r="N136" s="26" t="str">
        <x:v>Yes</x:v>
      </x:c>
      <x:c r="O136" s="26" t="str">
        <x:v>Indirect</x:v>
      </x:c>
      <x:c r="P136" s="26" t="str">
        <x:v>No</x:v>
      </x:c>
      <x:c r="Q136" s="26" t="str">
        <x:v>Operational research information system</x:v>
      </x:c>
      <x:c r="R136" s="26" t="str">
        <x:v>Active / operational</x:v>
      </x:c>
      <x:c r="S136" s="26" t="str">
        <x:v>Collects standardized records from multiple institutional native pig breeding farms; public system currently accessible</x:v>
      </x:c>
      <x:c r="T136" s="26" t="str">
        <x:v>Standardized multi-farm animal records, farm dashboards and downloadable reports</x:v>
      </x:c>
      <x:c r="U136" s="26" t="str">
        <x:v>Data freshness, participation beyond institutional farms, common animal IDs, API access and long-term maintenance</x:v>
      </x:c>
      <x:c r="V136" s="26" t="str">
        <x:v>Role-based web application; MySQL/PHP/JavaScript/Laravel stack and PDF/CSV exports are documented, but no official public source repository or API specification was located</x:v>
      </x:c>
      <x:c r="W136" s="26" t="str">
        <x:v>Native-pig breed, farm-record and performance-data connector</x:v>
      </x:c>
      <x:c r="X136" s="26" t="str">
        <x:v>High</x:v>
      </x:c>
      <x:c r="Y136" s="26" t="str">
        <x:v>Adopt stable farm, animal, breed, pedigree and production-event identifiers; expose governed CSV/API exchange while preserving breeder-farm access controls</x:v>
      </x:c>
      <x:c r="Z136" s="32" t="str">
        <x:v>https://pab-is.pcaarrd.dost.gov.ph/nativepigs/</x:v>
      </x:c>
      <x:c r="AA136" s="32" t="str">
        <x:v>https://www.pjvas.org/index.php/pjvas/article/download/282/253</x:v>
      </x:c>
      <x:c r="AB136" s="26" t="str">
        <x:v>2026-07-13</x:v>
      </x:c>
      <x:c r="AC136" s="26" t="str">
        <x:v>High</x:v>
      </x:c>
      <x:c r="AD136" s="26" t="str">
        <x:v>Module of the Philippine Animal Breed Information System (PAB-IS).</x:v>
      </x:c>
      <x:c r="AE136" s="26" t="str">
        <x:v>Registry &amp; digital identity; Traceability, food safety &amp; MRV; Data infrastructure, interoperability &amp; dashboards</x:v>
      </x:c>
      <x:c r="AF136" s="26" t="str">
        <x:v>Registry &amp; digital identity; Farm management &amp; decision support; Traceability, food safety &amp; MRV; Data infrastructure, interoperability &amp; dashboards</x:v>
      </x:c>
      <x:c r="AG136" s="26" t="str">
        <x:v>Seeds / germplasm / breeds; Swine / native pig</x:v>
      </x:c>
      <x:c r="AH136" s="26" t="str">
        <x:v>Registration &amp; identity; R&amp;D, breeding &amp; genetic resources; Production &amp; farm management; Traceability, compliance &amp; MRV</x:v>
      </x:c>
      <x:c r="AI136" s="26" t="str">
        <x:v>Web / portal; Database / MIS; Dashboard / analytics</x:v>
      </x:c>
      <x:c r="AJ136" s="30" t="n">
        <x:f>IF(AF136="","",LEN(AF136)-LEN(SUBSTITUTE(AF136,";",""))+1)</x:f>
        <x:v>4</x:v>
      </x:c>
      <x:c r="AK136" s="26" t="str">
        <x:v>Dedicated — swine/native pig</x:v>
      </x:c>
    </x:row>
    <x:row r="137" ht="62" customHeight="1">
      <x:c r="A137" s="26" t="str">
        <x:v>D2-133</x:v>
      </x:c>
      <x:c r="B137" s="26" t="str">
        <x:v>Philippine Native Chicken and Itik PINAS Breed Information System</x:v>
      </x:c>
      <x:c r="C137" s="26" t="str">
        <x:v>PAB-IS Native Poultry</x:v>
      </x:c>
      <x:c r="D137" s="26" t="str">
        <x:v>DOST-PCAARRD / UPLB Institute of Animal Science and Institute of Computer Science / partner breeding institutions</x:v>
      </x:c>
      <x:c r="E137" s="26" t="str">
        <x:v>SUC–government research partnership</x:v>
      </x:c>
      <x:c r="F137" s="26" t="str">
        <x:v>Native chicken and Itik PINAS ducks</x:v>
      </x:c>
      <x:c r="G137" s="26" t="str">
        <x:v>Philippines / partner breeding institutions and breeder directories</x:v>
      </x:c>
      <x:c r="H137" s="26" t="str">
        <x:v>Breed information, production performance and breeder discovery</x:v>
      </x:c>
      <x:c r="I137" s="26" t="str">
        <x:v>Information and advisory services</x:v>
      </x:c>
      <x:c r="J137" s="26" t="str">
        <x:v>Data infrastructure, interoperability &amp; dashboards</x:v>
      </x:c>
      <x:c r="K137" s="26" t="str">
        <x:v>Provides qualitative, morphometric and production-performance information for Philippine native chicken and Itik PINAS lines, with breeder directories</x:v>
      </x:c>
      <x:c r="L137" s="26" t="str">
        <x:v>Public web information system, database and breeder directory</x:v>
      </x:c>
      <x:c r="M137" s="26" t="str">
        <x:v>Poultry and duck breeders, farmers, researchers, extension workers and policy makers</x:v>
      </x:c>
      <x:c r="N137" s="26" t="str">
        <x:v>Indirect</x:v>
      </x:c>
      <x:c r="O137" s="26" t="str">
        <x:v>Indirect</x:v>
      </x:c>
      <x:c r="P137" s="26" t="str">
        <x:v>No</x:v>
      </x:c>
      <x:c r="Q137" s="26" t="str">
        <x:v>Operational web information system</x:v>
      </x:c>
      <x:c r="R137" s="26" t="str">
        <x:v>Active / operational</x:v>
      </x:c>
      <x:c r="S137" s="26" t="str">
        <x:v>Aggregates breed information from DA, BAI, state universities and other partner institutions; public system currently accessible</x:v>
      </x:c>
      <x:c r="T137" s="26" t="str">
        <x:v>Authoritative multi-institution breed and performance data with breeder directories</x:v>
      </x:c>
      <x:c r="U137" s="26" t="str">
        <x:v>Update frequency, machine-readable export, farm-level transaction linkage, API access and long-term data stewardship</x:v>
      </x:c>
      <x:c r="V137" s="26" t="str">
        <x:v>Multi-institution web database is documented; no official public source repository, API specification or bulk-export documentation was located</x:v>
      </x:c>
      <x:c r="W137" s="26" t="str">
        <x:v>Native-poultry breed reference and breeder-directory connector</x:v>
      </x:c>
      <x:c r="X137" s="26" t="str">
        <x:v>High</x:v>
      </x:c>
      <x:c r="Y137" s="26" t="str">
        <x:v>Publish stable breed and institution identifiers, data dictionaries and controlled CSV/API export; link breeder records to BAI and relevant livestock registries</x:v>
      </x:c>
      <x:c r="Z137" s="32" t="str">
        <x:v>https://pab-is.pcaarrd.dost.gov.ph/nativepoultry/</x:v>
      </x:c>
      <x:c r="AA137" s="32" t="str">
        <x:v>https://pab-is.pcaarrd.dost.gov.ph/</x:v>
      </x:c>
      <x:c r="AB137" s="26" t="str">
        <x:v>2026-07-13</x:v>
      </x:c>
      <x:c r="AC137" s="26" t="str">
        <x:v>High</x:v>
      </x:c>
      <x:c r="AD137" s="26" t="str">
        <x:v>Module of the Philippine Animal Breed Information System (PAB-IS). Includes Boholano, Camarines, Darag and ZamPen native chickens and Itik PINAS lines.</x:v>
      </x:c>
      <x:c r="AE137" s="26" t="str">
        <x:v>Advisory &amp; e-extension; Inputs, seed &amp; nutrient tools</x:v>
      </x:c>
      <x:c r="AF137" s="26" t="str">
        <x:v>Advisory &amp; e-extension; Inputs, seed &amp; nutrient tools; Data infrastructure, interoperability &amp; dashboards</x:v>
      </x:c>
      <x:c r="AG137" s="26" t="str">
        <x:v>Seeds / germplasm / breeds; Poultry / chicken / duck</x:v>
      </x:c>
      <x:c r="AH137" s="26" t="str">
        <x:v>R&amp;D, breeding &amp; genetic resources; Production &amp; farm management; Extension, training &amp; support</x:v>
      </x:c>
      <x:c r="AI137" s="26" t="str">
        <x:v>Web / portal; Database / MIS</x:v>
      </x:c>
      <x:c r="AJ137" s="30" t="n">
        <x:f>IF(AF137="","",LEN(AF137)-LEN(SUBSTITUTE(AF137,";",""))+1)</x:f>
        <x:v>3</x:v>
      </x:c>
      <x:c r="AK137" s="26" t="str">
        <x:v>Dedicated — poultry/chicken/duck</x:v>
      </x:c>
    </x:row>
  </x:sheetData>
  <x:mergeCells>
    <x:mergeCell ref="A1:AK1"/>
    <x:mergeCell ref="A2:AK2"/>
  </x:mergeCells>
  <x:conditionalFormatting sqref="X5:X135">
    <x:cfRule type="expression" dxfId="0" priority="1">
      <x:formula>X5="High"</x:formula>
    </x:cfRule>
    <x:cfRule type="expression" dxfId="1" priority="2">
      <x:formula>X5="Medium"</x:formula>
    </x:cfRule>
    <x:cfRule type="expression" dxfId="2" priority="3">
      <x:formula>X5="Low"</x:formula>
    </x:cfRule>
  </x:conditionalFormatting>
  <x:conditionalFormatting sqref="AC5:AC135">
    <x:cfRule type="expression" dxfId="3" priority="4">
      <x:formula>AC5="High"</x:formula>
    </x:cfRule>
    <x:cfRule type="expression" dxfId="4" priority="5">
      <x:formula>AC5="Medium"</x:formula>
    </x:cfRule>
    <x:cfRule type="expression" dxfId="5" priority="6">
      <x:formula>AC5="Low"</x:formula>
    </x:cfRule>
  </x:conditionalFormatting>
  <x:conditionalFormatting sqref="R5:R135">
    <x:cfRule type="expression" dxfId="6" priority="7">
      <x:formula>R5="Active / operational"</x:formula>
    </x:cfRule>
    <x:cfRule type="expression" dxfId="7" priority="8">
      <x:formula>ISNUMBER(SEARCH("unverified",R5))</x:formula>
    </x:cfRule>
  </x:conditionalFormatting>
  <x:conditionalFormatting sqref="AJ5:AJ137">
    <x:cfRule type="dataBar" priority="9">
      <x:dataBar>
        <x:cfvo type="min"/>
        <x:cfvo type="max"/>
        <x:color rgb="FF1F6E8C"/>
      </x:dataBar>
      <x:extLst>
        <x:ext xmlns:x14="http://schemas.microsoft.com/office/spreadsheetml/2009/9/main" uri="{B025F937-C7B1-47D3-B67F-A62EFF666E3E}">
          <x14:id>{16DA947F-DC7C-2289-0268-0269337EB52F}</x14:id>
        </x:ext>
      </x:extLst>
    </x:cfRule>
  </x:conditionalFormatting>
  <x:dataValidations count="3">
    <x:dataValidation type="list" sqref="X5:X135">
      <x:formula1>"High,Medium,Low"</x:formula1>
    </x:dataValidation>
    <x:dataValidation type="list" sqref="AC5:AC135">
      <x:formula1>"High,Medium,Low"</x:formula1>
    </x:dataValidation>
    <x:dataValidation type="list" sqref="AK5:AK137">
      <x:formula1>"Not dedicated,Dedicated — swine/native pig,Dedicated — poultry/chicken/duck,Dedicated — mixed livestock/poultry,Livestock regulatory / animal-health,Livestock — general"</x:formula1>
    </x:dataValidation>
  </x:dataValidations>
  <x:pageMargins left="0.7" right="0.7" top="0.75" bottom="0.75" header="0.3" footer="0.3"/>
  <x:tableParts count="1">
    <x:tablePart xmlns:r="http://schemas.openxmlformats.org/officeDocument/2006/relationships" r:id="R92fdd3a222e042a3"/>
  </x:tableParts>
  <x:extLst>
    <x:ext xmlns:x14="http://schemas.microsoft.com/office/spreadsheetml/2009/9/main" xmlns:xm="http://schemas.microsoft.com/office/excel/2006/main" uri="{78C0D931-6437-407d-A8EE-F0AAD7539E65}">
      <x14:conditionalFormattings>
        <x14:conditionalFormatting>
          <x14:cfRule type="dataBar" priority="9" id="{16DA947F-DC7C-2289-0268-0269337EB52F}">
            <x14:dataBar gradient="1">
              <x14:cfvo type="min"/>
              <x14:cfvo type="max"/>
              <x14:fillColor rgb="FF1F6E8C"/>
            </x14:dataBar>
          </x14:cfRule>
          <xm:sqref>AJ5:AJ137</xm:sqref>
        </x14:conditionalFormatting>
      </x14:conditionalFormattings>
    </x:ext>
  </x:extLst>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22" hidden="0" customWidth="1"/>
    <x:col min="4" max="4" width="28" hidden="0" customWidth="1"/>
    <x:col min="5" max="5" width="25" hidden="0" customWidth="1"/>
    <x:col min="6" max="6" width="14"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4" hidden="0" customWidth="1"/>
    <x:col min="23" max="23" width="39" hidden="0" customWidth="1"/>
    <x:col min="24" max="24" width="12" hidden="0" customWidth="1"/>
    <x:col min="25" max="25" width="34" hidden="0" customWidth="1"/>
  </x:cols>
  <x:sheetData>
    <x:row r="1" ht="36" customHeight="1">
      <x:c r="A1" s="4" t="str">
        <x:v>Preliminary Scaling Scan — 14 Dimensions</x:v>
      </x:c>
      <x:c r="B1" s="4" t="str">
        <x:v>Preliminary Scaling Scan — 14 Dimensions</x:v>
      </x:c>
      <x:c r="C1" s="4" t="str">
        <x:v>Preliminary Scaling Scan — 14 Dimensions</x:v>
      </x:c>
      <x:c r="D1" s="4" t="str">
        <x:v>Preliminary Scaling Scan — 14 Dimensions</x:v>
      </x:c>
      <x:c r="E1" s="4" t="str">
        <x:v>Preliminary Scaling Scan — 14 Dimensions</x:v>
      </x:c>
      <x:c r="F1" s="4" t="str">
        <x:v>Preliminary Scaling Scan — 14 Dimensions</x:v>
      </x:c>
      <x:c r="G1" s="4" t="str">
        <x:v>Preliminary Scaling Scan — 14 Dimensions</x:v>
      </x:c>
      <x:c r="H1" s="4" t="str">
        <x:v>Preliminary Scaling Scan — 14 Dimensions</x:v>
      </x:c>
      <x:c r="I1" s="4" t="str">
        <x:v>Preliminary Scaling Scan — 14 Dimensions</x:v>
      </x:c>
      <x:c r="J1" s="4" t="str">
        <x:v>Preliminary Scaling Scan — 14 Dimensions</x:v>
      </x:c>
      <x:c r="K1" s="4" t="str">
        <x:v>Preliminary Scaling Scan — 14 Dimensions</x:v>
      </x:c>
      <x:c r="L1" s="4" t="str">
        <x:v>Preliminary Scaling Scan — 14 Dimensions</x:v>
      </x:c>
      <x:c r="M1" s="4" t="str">
        <x:v>Preliminary Scaling Scan — 14 Dimensions</x:v>
      </x:c>
      <x:c r="N1" s="4" t="str">
        <x:v>Preliminary Scaling Scan — 14 Dimensions</x:v>
      </x:c>
      <x:c r="O1" s="4" t="str">
        <x:v>Preliminary Scaling Scan — 14 Dimensions</x:v>
      </x:c>
      <x:c r="P1" s="4" t="str">
        <x:v>Preliminary Scaling Scan — 14 Dimensions</x:v>
      </x:c>
      <x:c r="Q1" s="4" t="str">
        <x:v>Preliminary Scaling Scan — 14 Dimensions</x:v>
      </x:c>
      <x:c r="R1" s="4" t="str">
        <x:v>Preliminary Scaling Scan — 14 Dimensions</x:v>
      </x:c>
      <x:c r="S1" s="4" t="str">
        <x:v>Preliminary Scaling Scan — 14 Dimensions</x:v>
      </x:c>
      <x:c r="T1" s="4" t="str">
        <x:v>Preliminary Scaling Scan — 14 Dimensions</x:v>
      </x:c>
      <x:c r="U1" s="4" t="str">
        <x:v>Preliminary Scaling Scan — 14 Dimensions</x:v>
      </x:c>
      <x:c r="V1" s="4" t="str">
        <x:v>Preliminary Scaling Scan — 14 Dimensions</x:v>
      </x:c>
      <x:c r="W1" s="4" t="str">
        <x:v>Preliminary Scaling Scan — 14 Dimensions</x:v>
      </x:c>
      <x:c r="X1" s="4" t="str">
        <x:v>Preliminary Scaling Scan — 14 Dimensions</x:v>
      </x:c>
      <x:c r="Y1" s="4" t="str">
        <x:v>Preliminary Scaling Scan — 14 Dimensions</x:v>
      </x:c>
    </x:row>
    <x:row r="2" ht="28" customHeight="1">
      <x:c r="A2" s="10" t="str">
        <x:v>0 = no evidence/absent; 1 = weak/early; 2 = moderate; 3 = strong/institutionalized. Scores are conservative desk-review judgments and should be validated with developers, users and outcome data.</x:v>
      </x:c>
      <x:c r="B2" s="10" t="str">
        <x:v>0 = no evidence/absent; 1 = weak/early; 2 = moderate; 3 = strong/institutionalized. Scores are conservative desk-review judgments and should be validated with developers, users and outcome data.</x:v>
      </x:c>
      <x:c r="C2" s="10" t="str">
        <x:v>0 = no evidence/absent; 1 = weak/early; 2 = moderate; 3 = strong/institutionalized. Scores are conservative desk-review judgments and should be validated with developers, users and outcome data.</x:v>
      </x:c>
      <x:c r="D2" s="10" t="str">
        <x:v>0 = no evidence/absent; 1 = weak/early; 2 = moderate; 3 = strong/institutionalized. Scores are conservative desk-review judgments and should be validated with developers, users and outcome data.</x:v>
      </x:c>
      <x:c r="E2" s="10" t="str">
        <x:v>0 = no evidence/absent; 1 = weak/early; 2 = moderate; 3 = strong/institutionalized. Scores are conservative desk-review judgments and should be validated with developers, users and outcome data.</x:v>
      </x:c>
      <x:c r="F2" s="10" t="str">
        <x:v>0 = no evidence/absent; 1 = weak/early; 2 = moderate; 3 = strong/institutionalized. Scores are conservative desk-review judgments and should be validated with developers, users and outcome data.</x:v>
      </x:c>
      <x:c r="G2" s="10" t="str">
        <x:v>0 = no evidence/absent; 1 = weak/early; 2 = moderate; 3 = strong/institutionalized. Scores are conservative desk-review judgments and should be validated with developers, users and outcome data.</x:v>
      </x:c>
      <x:c r="H2" s="10" t="str">
        <x:v>0 = no evidence/absent; 1 = weak/early; 2 = moderate; 3 = strong/institutionalized. Scores are conservative desk-review judgments and should be validated with developers, users and outcome data.</x:v>
      </x:c>
      <x:c r="I2" s="10" t="str">
        <x:v>0 = no evidence/absent; 1 = weak/early; 2 = moderate; 3 = strong/institutionalized. Scores are conservative desk-review judgments and should be validated with developers, users and outcome data.</x:v>
      </x:c>
      <x:c r="J2" s="10" t="str">
        <x:v>0 = no evidence/absent; 1 = weak/early; 2 = moderate; 3 = strong/institutionalized. Scores are conservative desk-review judgments and should be validated with developers, users and outcome data.</x:v>
      </x:c>
      <x:c r="K2" s="10" t="str">
        <x:v>0 = no evidence/absent; 1 = weak/early; 2 = moderate; 3 = strong/institutionalized. Scores are conservative desk-review judgments and should be validated with developers, users and outcome data.</x:v>
      </x:c>
      <x:c r="L2" s="10" t="str">
        <x:v>0 = no evidence/absent; 1 = weak/early; 2 = moderate; 3 = strong/institutionalized. Scores are conservative desk-review judgments and should be validated with developers, users and outcome data.</x:v>
      </x:c>
      <x:c r="M2" s="10" t="str">
        <x:v>0 = no evidence/absent; 1 = weak/early; 2 = moderate; 3 = strong/institutionalized. Scores are conservative desk-review judgments and should be validated with developers, users and outcome data.</x:v>
      </x:c>
      <x:c r="N2" s="10" t="str">
        <x:v>0 = no evidence/absent; 1 = weak/early; 2 = moderate; 3 = strong/institutionalized. Scores are conservative desk-review judgments and should be validated with developers, users and outcome data.</x:v>
      </x:c>
      <x:c r="O2" s="10" t="str">
        <x:v>0 = no evidence/absent; 1 = weak/early; 2 = moderate; 3 = strong/institutionalized. Scores are conservative desk-review judgments and should be validated with developers, users and outcome data.</x:v>
      </x:c>
      <x:c r="P2" s="10" t="str">
        <x:v>0 = no evidence/absent; 1 = weak/early; 2 = moderate; 3 = strong/institutionalized. Scores are conservative desk-review judgments and should be validated with developers, users and outcome data.</x:v>
      </x:c>
      <x:c r="Q2" s="10" t="str">
        <x:v>0 = no evidence/absent; 1 = weak/early; 2 = moderate; 3 = strong/institutionalized. Scores are conservative desk-review judgments and should be validated with developers, users and outcome data.</x:v>
      </x:c>
      <x:c r="R2" s="10" t="str">
        <x:v>0 = no evidence/absent; 1 = weak/early; 2 = moderate; 3 = strong/institutionalized. Scores are conservative desk-review judgments and should be validated with developers, users and outcome data.</x:v>
      </x:c>
      <x:c r="S2" s="10" t="str">
        <x:v>0 = no evidence/absent; 1 = weak/early; 2 = moderate; 3 = strong/institutionalized. Scores are conservative desk-review judgments and should be validated with developers, users and outcome data.</x:v>
      </x:c>
      <x:c r="T2" s="10" t="str">
        <x:v>0 = no evidence/absent; 1 = weak/early; 2 = moderate; 3 = strong/institutionalized. Scores are conservative desk-review judgments and should be validated with developers, users and outcome data.</x:v>
      </x:c>
      <x:c r="U2" s="10" t="str">
        <x:v>0 = no evidence/absent; 1 = weak/early; 2 = moderate; 3 = strong/institutionalized. Scores are conservative desk-review judgments and should be validated with developers, users and outcome data.</x:v>
      </x:c>
      <x:c r="V2" s="10" t="str">
        <x:v>0 = no evidence/absent; 1 = weak/early; 2 = moderate; 3 = strong/institutionalized. Scores are conservative desk-review judgments and should be validated with developers, users and outcome data.</x:v>
      </x:c>
      <x:c r="W2" s="10" t="str">
        <x:v>0 = no evidence/absent; 1 = weak/early; 2 = moderate; 3 = strong/institutionalized. Scores are conservative desk-review judgments and should be validated with developers, users and outcome data.</x:v>
      </x:c>
      <x:c r="X2" s="10" t="str">
        <x:v>0 = no evidence/absent; 1 = weak/early; 2 = moderate; 3 = strong/institutionalized. Scores are conservative desk-review judgments and should be validated with developers, users and outcome data.</x:v>
      </x:c>
      <x:c r="Y2" s="10" t="str">
        <x:v>0 = no evidence/absent; 1 = weak/early; 2 = moderate; 3 = strong/institutionalized. Scores are conservative desk-review judgments and should be validated with developers, users and outcome data.</x:v>
      </x:c>
    </x:row>
    <x:row r="4">
      <x:c r="A4" s="18" t="str">
        <x:v>DATS2_ID</x:v>
      </x:c>
      <x:c r="B4" s="18" t="str">
        <x:v>System / Tool</x:v>
      </x:c>
      <x:c r="C4" s="18" t="str">
        <x:v>Owner Type</x:v>
      </x:c>
      <x:c r="D4" s="18" t="str">
        <x:v>DATS 2.0 Category</x:v>
      </x:c>
      <x:c r="E4" s="18" t="str">
        <x:v>Operating Status</x:v>
      </x:c>
      <x:c r="F4" s="18" t="str">
        <x:v>Evidence Confidence</x:v>
      </x:c>
      <x:c r="G4" s="18" t="str">
        <x:v>Technology robustness</x:v>
      </x:c>
      <x:c r="H4" s="18" t="str">
        <x:v>User value / demand</x:v>
      </x:c>
      <x:c r="I4" s="18" t="str">
        <x:v>Business / delivery logic</x:v>
      </x:c>
      <x:c r="J4" s="18" t="str">
        <x:v>Financial sustainability</x:v>
      </x:c>
      <x:c r="K4" s="18" t="str">
        <x:v>Knowledge &amp; skills support</x:v>
      </x:c>
      <x:c r="L4" s="18" t="str">
        <x:v>Strategic collaboration</x:v>
      </x:c>
      <x:c r="M4" s="18" t="str">
        <x:v>Evidence / M&amp;E</x:v>
      </x:c>
      <x:c r="N4" s="18" t="str">
        <x:v>Leadership / ownership</x:v>
      </x:c>
      <x:c r="O4" s="18" t="str">
        <x:v>Value-chain linkage</x:v>
      </x:c>
      <x:c r="P4" s="18" t="str">
        <x:v>Public-sector governance</x:v>
      </x:c>
      <x:c r="Q4" s="18" t="str">
        <x:v>Interoperability / standards</x:v>
      </x:c>
      <x:c r="R4" s="18" t="str">
        <x:v>Data governance / trust</x:v>
      </x:c>
      <x:c r="S4" s="18" t="str">
        <x:v>Operations / maintenance</x:v>
      </x:c>
      <x:c r="T4" s="18" t="str">
        <x:v>Localization / inclusion</x:v>
      </x:c>
      <x:c r="U4" s="18" t="str">
        <x:v>Overall Score</x:v>
      </x:c>
      <x:c r="V4" s="18" t="str">
        <x:v>Critical Gaps (0–1)</x:v>
      </x:c>
      <x:c r="W4" s="18" t="str">
        <x:v>Primary Bottleneck</x:v>
      </x:c>
      <x:c r="X4" s="18" t="str">
        <x:v>SINAG Priority</x:v>
      </x:c>
      <x:c r="Y4" s="18" t="str">
        <x:v>Assessment Note</x:v>
      </x:c>
    </x:row>
    <x:row r="5" ht="44" customHeight="1">
      <x:c r="A5" s="26" t="str">
        <x:v>D2-001</x:v>
      </x:c>
      <x:c r="B5" s="26" t="str">
        <x:v>Digital Agriculture Tools and Services in the Philippines</x:v>
      </x:c>
      <x:c r="C5" s="26" t="str">
        <x:v>Government–international partnership</x:v>
      </x:c>
      <x:c r="D5" s="26" t="str">
        <x:v>Data infrastructure, interoperability &amp; dashboards</x:v>
      </x:c>
      <x:c r="E5" s="26" t="str">
        <x:v>Status unverified / live site inaccessible</x:v>
      </x:c>
      <x:c r="F5" s="26" t="str">
        <x:v>High</x:v>
      </x:c>
      <x:c r="G5" s="30" t="n">
        <x:v>1</x:v>
      </x:c>
      <x:c r="H5" s="30" t="n">
        <x:v>0</x:v>
      </x:c>
      <x:c r="I5" s="30" t="n">
        <x:v>1</x:v>
      </x:c>
      <x:c r="J5" s="30" t="n">
        <x:v>1</x:v>
      </x:c>
      <x:c r="K5" s="30" t="n">
        <x:v>3</x:v>
      </x:c>
      <x:c r="L5" s="30" t="n">
        <x:v>3</x:v>
      </x:c>
      <x:c r="M5" s="30" t="n">
        <x:v>1</x:v>
      </x:c>
      <x:c r="N5" s="30" t="n">
        <x:v>2</x:v>
      </x:c>
      <x:c r="O5" s="30" t="n">
        <x:v>2</x:v>
      </x:c>
      <x:c r="P5" s="30" t="n">
        <x:v>2</x:v>
      </x:c>
      <x:c r="Q5" s="30" t="n">
        <x:v>2</x:v>
      </x:c>
      <x:c r="R5" s="30" t="n">
        <x:v>2</x:v>
      </x:c>
      <x:c r="S5" s="30" t="n">
        <x:v>1</x:v>
      </x:c>
      <x:c r="T5" s="30" t="n">
        <x:v>2</x:v>
      </x:c>
      <x:c r="U5" s="34" t="n">
        <x:f>AVERAGE(G5:T5)</x:f>
        <x:v>1.6428571428571428</x:v>
      </x:c>
      <x:c r="V5" s="30" t="n">
        <x:f>COUNTIF(G5:T5,"&lt;=1")</x:f>
        <x:v>6</x:v>
      </x:c>
      <x:c r="W5" s="26" t="str">
        <x:v>Continuity, database maintenance and current-status verification</x:v>
      </x:c>
      <x:c r="X5" s="26" t="str">
        <x:v>High</x:v>
      </x:c>
      <x:c r="Y5" s="26" t="str">
        <x:v>Desk-review score; validate with developer and user evidence</x:v>
      </x:c>
    </x:row>
    <x:row r="6" ht="44" customHeight="1">
      <x:c r="A6" s="26" t="str">
        <x:v>D2-002</x:v>
      </x:c>
      <x:c r="B6" s="26" t="str">
        <x:v>Registry System for Basic Sectors in Agriculture / National Farmers and Fisherfolk Registry System</x:v>
      </x:c>
      <x:c r="C6" s="26" t="str">
        <x:v>National government</x:v>
      </x:c>
      <x:c r="D6" s="26" t="str">
        <x:v>Registry &amp; digital identity</x:v>
      </x:c>
      <x:c r="E6" s="26" t="str">
        <x:v>Active / operational</x:v>
      </x:c>
      <x:c r="F6" s="26" t="str">
        <x:v>High</x:v>
      </x:c>
      <x:c r="G6" s="30" t="n">
        <x:v>3</x:v>
      </x:c>
      <x:c r="H6" s="30" t="n">
        <x:v>2</x:v>
      </x:c>
      <x:c r="I6" s="30" t="n">
        <x:v>2</x:v>
      </x:c>
      <x:c r="J6" s="30" t="n">
        <x:v>2</x:v>
      </x:c>
      <x:c r="K6" s="30" t="n">
        <x:v>1</x:v>
      </x:c>
      <x:c r="L6" s="30" t="n">
        <x:v>2</x:v>
      </x:c>
      <x:c r="M6" s="30" t="n">
        <x:v>2</x:v>
      </x:c>
      <x:c r="N6" s="30" t="n">
        <x:v>3</x:v>
      </x:c>
      <x:c r="O6" s="30" t="n">
        <x:v>2</x:v>
      </x:c>
      <x:c r="P6" s="30" t="n">
        <x:v>3</x:v>
      </x:c>
      <x:c r="Q6" s="30" t="n">
        <x:v>1</x:v>
      </x:c>
      <x:c r="R6" s="30" t="n">
        <x:v>2</x:v>
      </x:c>
      <x:c r="S6" s="30" t="n">
        <x:v>3</x:v>
      </x:c>
      <x:c r="T6" s="30" t="n">
        <x:v>2</x:v>
      </x:c>
      <x:c r="U6" s="34" t="n">
        <x:f>AVERAGE(G6:T6)</x:f>
        <x:v>2.142857142857143</x:v>
      </x:c>
      <x:c r="V6" s="30" t="n">
        <x:f>COUNTIF(G6:T6,"&lt;=1")</x:f>
        <x:v>2</x:v>
      </x:c>
      <x:c r="W6" s="26" t="str">
        <x:v>Updating, duplicate records, consent, correction and cross-system matching</x:v>
      </x:c>
      <x:c r="X6" s="26" t="str">
        <x:v>High</x:v>
      </x:c>
      <x:c r="Y6" s="26" t="str">
        <x:v>Desk-review score; validate with developer and user evidence</x:v>
      </x:c>
    </x:row>
    <x:row r="7" ht="44" customHeight="1">
      <x:c r="A7" s="26" t="str">
        <x:v>D2-003</x:v>
      </x:c>
      <x:c r="B7" s="26" t="str">
        <x:v>RSBSA Finder</x:v>
      </x:c>
      <x:c r="C7" s="26" t="str">
        <x:v>National government</x:v>
      </x:c>
      <x:c r="D7" s="26" t="str">
        <x:v>Registry &amp; digital identity</x:v>
      </x:c>
      <x:c r="E7" s="26" t="str">
        <x:v>Active / operational</x:v>
      </x:c>
      <x:c r="F7" s="26" t="str">
        <x:v>High</x:v>
      </x:c>
      <x:c r="G7" s="30" t="n">
        <x:v>2</x:v>
      </x:c>
      <x:c r="H7" s="30" t="n">
        <x:v>2</x:v>
      </x:c>
      <x:c r="I7" s="30" t="n">
        <x:v>1</x:v>
      </x:c>
      <x:c r="J7" s="30" t="n">
        <x:v>1</x:v>
      </x:c>
      <x:c r="K7" s="30" t="n">
        <x:v>1</x:v>
      </x:c>
      <x:c r="L7" s="30" t="n">
        <x:v>2</x:v>
      </x:c>
      <x:c r="M7" s="30" t="n">
        <x:v>2</x:v>
      </x:c>
      <x:c r="N7" s="30" t="n">
        <x:v>2</x:v>
      </x:c>
      <x:c r="O7" s="30" t="n">
        <x:v>2</x:v>
      </x:c>
      <x:c r="P7" s="30" t="n">
        <x:v>3</x:v>
      </x:c>
      <x:c r="Q7" s="30" t="n">
        <x:v>1</x:v>
      </x:c>
      <x:c r="R7" s="30" t="n">
        <x:v>1</x:v>
      </x:c>
      <x:c r="S7" s="30" t="n">
        <x:v>2</x:v>
      </x:c>
      <x:c r="T7" s="30" t="n">
        <x:v>2</x:v>
      </x:c>
      <x:c r="U7" s="34" t="n">
        <x:f>AVERAGE(G7:T7)</x:f>
        <x:v>1.7142857142857142</x:v>
      </x:c>
      <x:c r="V7" s="30" t="n">
        <x:f>COUNTIF(G7:T7,"&lt;=1")</x:f>
        <x:v>5</x:v>
      </x:c>
      <x:c r="W7" s="26" t="str">
        <x:v>Identity matching errors and limited self-service correction</x:v>
      </x:c>
      <x:c r="X7" s="26" t="str">
        <x:v>High</x:v>
      </x:c>
      <x:c r="Y7" s="26" t="str">
        <x:v>Desk-review score; validate with developer and user evidence</x:v>
      </x:c>
    </x:row>
    <x:row r="8" ht="44" customHeight="1">
      <x:c r="A8" s="26" t="str">
        <x:v>D2-004</x:v>
      </x:c>
      <x:c r="B8" s="26" t="str">
        <x:v>Farmers and Fisherfolk Enterprise Development Information System</x:v>
      </x:c>
      <x:c r="C8" s="26" t="str">
        <x:v>National government</x:v>
      </x:c>
      <x:c r="D8" s="26" t="str">
        <x:v>Registry &amp; digital identity</x:v>
      </x:c>
      <x:c r="E8" s="26" t="str">
        <x:v>Active / operational</x:v>
      </x:c>
      <x:c r="F8" s="26" t="str">
        <x:v>High</x:v>
      </x:c>
      <x:c r="G8" s="30" t="n">
        <x:v>3</x:v>
      </x:c>
      <x:c r="H8" s="30" t="n">
        <x:v>2</x:v>
      </x:c>
      <x:c r="I8" s="30" t="n">
        <x:v>2</x:v>
      </x:c>
      <x:c r="J8" s="30" t="n">
        <x:v>2</x:v>
      </x:c>
      <x:c r="K8" s="30" t="n">
        <x:v>1</x:v>
      </x:c>
      <x:c r="L8" s="30" t="n">
        <x:v>2</x:v>
      </x:c>
      <x:c r="M8" s="30" t="n">
        <x:v>2</x:v>
      </x:c>
      <x:c r="N8" s="30" t="n">
        <x:v>3</x:v>
      </x:c>
      <x:c r="O8" s="30" t="n">
        <x:v>2</x:v>
      </x:c>
      <x:c r="P8" s="30" t="n">
        <x:v>3</x:v>
      </x:c>
      <x:c r="Q8" s="30" t="n">
        <x:v>1</x:v>
      </x:c>
      <x:c r="R8" s="30" t="n">
        <x:v>2</x:v>
      </x:c>
      <x:c r="S8" s="30" t="n">
        <x:v>3</x:v>
      </x:c>
      <x:c r="T8" s="30" t="n">
        <x:v>2</x:v>
      </x:c>
      <x:c r="U8" s="34" t="n">
        <x:f>AVERAGE(G8:T8)</x:f>
        <x:v>2.142857142857143</x:v>
      </x:c>
      <x:c r="V8" s="30" t="n">
        <x:f>COUNTIF(G8:T8,"&lt;=1")</x:f>
        <x:v>2</x:v>
      </x:c>
      <x:c r="W8" s="26" t="str">
        <x:v>Validation workload, awareness and conversion to actual transactions</x:v>
      </x:c>
      <x:c r="X8" s="26" t="str">
        <x:v>High</x:v>
      </x:c>
      <x:c r="Y8" s="26" t="str">
        <x:v>Desk-review score; validate with developer and user evidence</x:v>
      </x:c>
    </x:row>
    <x:row r="9" ht="44" customHeight="1">
      <x:c r="A9" s="26" t="str">
        <x:v>D2-005</x:v>
      </x:c>
      <x:c r="B9" s="26" t="str">
        <x:v>Farmers and Fisheries Registration System / Farmers Intervention Monitoring System</x:v>
      </x:c>
      <x:c r="C9" s="26" t="str">
        <x:v>National government</x:v>
      </x:c>
      <x:c r="D9" s="26" t="str">
        <x:v>Data infrastructure, interoperability &amp; dashboards</x:v>
      </x:c>
      <x:c r="E9" s="26" t="str">
        <x:v>Status unverified</x:v>
      </x:c>
      <x:c r="F9" s="26" t="str">
        <x:v>Medium</x:v>
      </x:c>
      <x:c r="G9" s="30" t="n">
        <x:v>1</x:v>
      </x:c>
      <x:c r="H9" s="30" t="n">
        <x:v>0</x:v>
      </x:c>
      <x:c r="I9" s="30" t="n">
        <x:v>1</x:v>
      </x:c>
      <x:c r="J9" s="30" t="n">
        <x:v>1</x:v>
      </x:c>
      <x:c r="K9" s="30" t="n">
        <x:v>1</x:v>
      </x:c>
      <x:c r="L9" s="30" t="n">
        <x:v>2</x:v>
      </x:c>
      <x:c r="M9" s="30" t="n">
        <x:v>1</x:v>
      </x:c>
      <x:c r="N9" s="30" t="n">
        <x:v>2</x:v>
      </x:c>
      <x:c r="O9" s="30" t="n">
        <x:v>2</x:v>
      </x:c>
      <x:c r="P9" s="30" t="n">
        <x:v>2</x:v>
      </x:c>
      <x:c r="Q9" s="30" t="n">
        <x:v>1</x:v>
      </x:c>
      <x:c r="R9" s="30" t="n">
        <x:v>1</x:v>
      </x:c>
      <x:c r="S9" s="30" t="n">
        <x:v>1</x:v>
      </x:c>
      <x:c r="T9" s="30" t="n">
        <x:v>2</x:v>
      </x:c>
      <x:c r="U9" s="34" t="n">
        <x:f>AVERAGE(G9:T9)</x:f>
        <x:v>1.2857142857142858</x:v>
      </x:c>
      <x:c r="V9" s="30" t="n">
        <x:f>COUNTIF(G9:T9,"&lt;=1")</x:f>
        <x:v>9</x:v>
      </x:c>
      <x:c r="W9" s="26" t="str">
        <x:v>Unclear present architecture, overlaps and public status</x:v>
      </x:c>
      <x:c r="X9" s="26" t="str">
        <x:v>High</x:v>
      </x:c>
      <x:c r="Y9" s="26" t="str">
        <x:v>Desk-review score; validate with developer and user evidence</x:v>
      </x:c>
    </x:row>
    <x:row r="10" ht="44" customHeight="1">
      <x:c r="A10" s="26" t="str">
        <x:v>D2-006</x:v>
      </x:c>
      <x:c r="B10" s="26" t="str">
        <x:v>DA GeoCamera</x:v>
      </x:c>
      <x:c r="C10" s="26" t="str">
        <x:v>National government</x:v>
      </x:c>
      <x:c r="D10" s="26" t="str">
        <x:v>Data infrastructure, interoperability &amp; dashboards</x:v>
      </x:c>
      <x:c r="E10" s="26" t="str">
        <x:v>Active / operational</x:v>
      </x:c>
      <x:c r="F10" s="26" t="str">
        <x:v>High</x:v>
      </x:c>
      <x:c r="G10" s="30" t="n">
        <x:v>2</x:v>
      </x:c>
      <x:c r="H10" s="30" t="n">
        <x:v>2</x:v>
      </x:c>
      <x:c r="I10" s="30" t="n">
        <x:v>1</x:v>
      </x:c>
      <x:c r="J10" s="30" t="n">
        <x:v>1</x:v>
      </x:c>
      <x:c r="K10" s="30" t="n">
        <x:v>1</x:v>
      </x:c>
      <x:c r="L10" s="30" t="n">
        <x:v>2</x:v>
      </x:c>
      <x:c r="M10" s="30" t="n">
        <x:v>2</x:v>
      </x:c>
      <x:c r="N10" s="30" t="n">
        <x:v>2</x:v>
      </x:c>
      <x:c r="O10" s="30" t="n">
        <x:v>2</x:v>
      </x:c>
      <x:c r="P10" s="30" t="n">
        <x:v>3</x:v>
      </x:c>
      <x:c r="Q10" s="30" t="n">
        <x:v>1</x:v>
      </x:c>
      <x:c r="R10" s="30" t="n">
        <x:v>2</x:v>
      </x:c>
      <x:c r="S10" s="30" t="n">
        <x:v>2</x:v>
      </x:c>
      <x:c r="T10" s="30" t="n">
        <x:v>2</x:v>
      </x:c>
      <x:c r="U10" s="34" t="n">
        <x:f>AVERAGE(G10:T10)</x:f>
        <x:v>1.7857142857142858</x:v>
      </x:c>
      <x:c r="V10" s="30" t="n">
        <x:f>COUNTIF(G10:T10,"&lt;=1")</x:f>
        <x:v>4</x:v>
      </x:c>
      <x:c r="W10" s="26" t="str">
        <x:v>Spoofing, metadata consistency and linkage to intervention records</x:v>
      </x:c>
      <x:c r="X10" s="26" t="str">
        <x:v>High</x:v>
      </x:c>
      <x:c r="Y10" s="26" t="str">
        <x:v>Desk-review score; validate with developer and user evidence</x:v>
      </x:c>
    </x:row>
    <x:row r="11" ht="44" customHeight="1">
      <x:c r="A11" s="26" t="str">
        <x:v>D2-007</x:v>
      </x:c>
      <x:c r="B11" s="26" t="str">
        <x:v>GEOAGRI</x:v>
      </x:c>
      <x:c r="C11" s="26" t="str">
        <x:v>National government</x:v>
      </x:c>
      <x:c r="D11" s="26" t="str">
        <x:v>Mechanization &amp; equipment-as-a-service</x:v>
      </x:c>
      <x:c r="E11" s="26" t="str">
        <x:v>Status unverified</x:v>
      </x:c>
      <x:c r="F11" s="26" t="str">
        <x:v>Medium</x:v>
      </x:c>
      <x:c r="G11" s="30" t="n">
        <x:v>2</x:v>
      </x:c>
      <x:c r="H11" s="30" t="n">
        <x:v>0</x:v>
      </x:c>
      <x:c r="I11" s="30" t="n">
        <x:v>1</x:v>
      </x:c>
      <x:c r="J11" s="30" t="n">
        <x:v>1</x:v>
      </x:c>
      <x:c r="K11" s="30" t="n">
        <x:v>1</x:v>
      </x:c>
      <x:c r="L11" s="30" t="n">
        <x:v>2</x:v>
      </x:c>
      <x:c r="M11" s="30" t="n">
        <x:v>1</x:v>
      </x:c>
      <x:c r="N11" s="30" t="n">
        <x:v>2</x:v>
      </x:c>
      <x:c r="O11" s="30" t="n">
        <x:v>3</x:v>
      </x:c>
      <x:c r="P11" s="30" t="n">
        <x:v>2</x:v>
      </x:c>
      <x:c r="Q11" s="30" t="n">
        <x:v>2</x:v>
      </x:c>
      <x:c r="R11" s="30" t="n">
        <x:v>1</x:v>
      </x:c>
      <x:c r="S11" s="30" t="n">
        <x:v>1</x:v>
      </x:c>
      <x:c r="T11" s="30" t="n">
        <x:v>2</x:v>
      </x:c>
      <x:c r="U11" s="34" t="n">
        <x:f>AVERAGE(G11:T11)</x:f>
        <x:v>1.5</x:v>
      </x:c>
      <x:c r="V11" s="30" t="n">
        <x:f>COUNTIF(G11:T11,"&lt;=1")</x:f>
        <x:v>7</x:v>
      </x:c>
      <x:c r="W11" s="26" t="str">
        <x:v>Updating, ownership changes and asset utilization tracking</x:v>
      </x:c>
      <x:c r="X11" s="26" t="str">
        <x:v>High</x:v>
      </x:c>
      <x:c r="Y11" s="26" t="str">
        <x:v>Desk-review score; validate with developer and user evidence</x:v>
      </x:c>
    </x:row>
    <x:row r="12" ht="44" customHeight="1">
      <x:c r="A12" s="26" t="str">
        <x:v>D2-008</x:v>
      </x:c>
      <x:c r="B12" s="26" t="str">
        <x:v>DA DOS Regional Government Analytics</x:v>
      </x:c>
      <x:c r="C12" s="26" t="str">
        <x:v>Regional government</x:v>
      </x:c>
      <x:c r="D12" s="26" t="str">
        <x:v>Data infrastructure, interoperability &amp; dashboards</x:v>
      </x:c>
      <x:c r="E12" s="26" t="str">
        <x:v>Active / operational</x:v>
      </x:c>
      <x:c r="F12" s="26" t="str">
        <x:v>High</x:v>
      </x:c>
      <x:c r="G12" s="30" t="n">
        <x:v>2</x:v>
      </x:c>
      <x:c r="H12" s="30" t="n">
        <x:v>2</x:v>
      </x:c>
      <x:c r="I12" s="30" t="n">
        <x:v>1</x:v>
      </x:c>
      <x:c r="J12" s="30" t="n">
        <x:v>1</x:v>
      </x:c>
      <x:c r="K12" s="30" t="n">
        <x:v>1</x:v>
      </x:c>
      <x:c r="L12" s="30" t="n">
        <x:v>2</x:v>
      </x:c>
      <x:c r="M12" s="30" t="n">
        <x:v>1</x:v>
      </x:c>
      <x:c r="N12" s="30" t="n">
        <x:v>2</x:v>
      </x:c>
      <x:c r="O12" s="30" t="n">
        <x:v>2</x:v>
      </x:c>
      <x:c r="P12" s="30" t="n">
        <x:v>2</x:v>
      </x:c>
      <x:c r="Q12" s="30" t="n">
        <x:v>2</x:v>
      </x:c>
      <x:c r="R12" s="30" t="n">
        <x:v>1</x:v>
      </x:c>
      <x:c r="S12" s="30" t="n">
        <x:v>2</x:v>
      </x:c>
      <x:c r="T12" s="30" t="n">
        <x:v>2</x:v>
      </x:c>
      <x:c r="U12" s="34" t="n">
        <x:f>AVERAGE(G12:T12)</x:f>
        <x:v>1.6428571428571428</x:v>
      </x:c>
      <x:c r="V12" s="30" t="n">
        <x:f>COUNTIF(G12:T12,"&lt;=1")</x:f>
        <x:v>5</x:v>
      </x:c>
      <x:c r="W12" s="26" t="str">
        <x:v>Potential duplication and inconsistent indicators across regions</x:v>
      </x:c>
      <x:c r="X12" s="26" t="str">
        <x:v>High</x:v>
      </x:c>
      <x:c r="Y12" s="26" t="str">
        <x:v>Desk-review score; validate with developer and user evidence</x:v>
      </x:c>
    </x:row>
    <x:row r="13" ht="44" customHeight="1">
      <x:c r="A13" s="26" t="str">
        <x:v>D2-009</x:v>
      </x:c>
      <x:c r="B13" s="26" t="str">
        <x:v>Agriculture and Fisheries Market Information System / Bantay Presyo</x:v>
      </x:c>
      <x:c r="C13" s="26" t="str">
        <x:v>National government</x:v>
      </x:c>
      <x:c r="D13" s="26" t="str">
        <x:v>Markets, e-commerce &amp; logistics</x:v>
      </x:c>
      <x:c r="E13" s="26" t="str">
        <x:v>Active / operational</x:v>
      </x:c>
      <x:c r="F13" s="26" t="str">
        <x:v>Medium</x:v>
      </x:c>
      <x:c r="G13" s="30" t="n">
        <x:v>3</x:v>
      </x:c>
      <x:c r="H13" s="30" t="n">
        <x:v>2</x:v>
      </x:c>
      <x:c r="I13" s="30" t="n">
        <x:v>2</x:v>
      </x:c>
      <x:c r="J13" s="30" t="n">
        <x:v>2</x:v>
      </x:c>
      <x:c r="K13" s="30" t="n">
        <x:v>1</x:v>
      </x:c>
      <x:c r="L13" s="30" t="n">
        <x:v>2</x:v>
      </x:c>
      <x:c r="M13" s="30" t="n">
        <x:v>1</x:v>
      </x:c>
      <x:c r="N13" s="30" t="n">
        <x:v>3</x:v>
      </x:c>
      <x:c r="O13" s="30" t="n">
        <x:v>3</x:v>
      </x:c>
      <x:c r="P13" s="30" t="n">
        <x:v>3</x:v>
      </x:c>
      <x:c r="Q13" s="30" t="n">
        <x:v>2</x:v>
      </x:c>
      <x:c r="R13" s="30" t="n">
        <x:v>2</x:v>
      </x:c>
      <x:c r="S13" s="30" t="n">
        <x:v>3</x:v>
      </x:c>
      <x:c r="T13" s="30" t="n">
        <x:v>2</x:v>
      </x:c>
      <x:c r="U13" s="34" t="n">
        <x:f>AVERAGE(G13:T13)</x:f>
        <x:v>2.2142857142857144</x:v>
      </x:c>
      <x:c r="V13" s="30" t="n">
        <x:f>COUNTIF(G13:T13,"&lt;=1")</x:f>
        <x:v>2</x:v>
      </x:c>
      <x:c r="W13" s="26" t="str">
        <x:v>Timeliness, granularity, comparability and linkage to selling options</x:v>
      </x:c>
      <x:c r="X13" s="26" t="str">
        <x:v>High</x:v>
      </x:c>
      <x:c r="Y13" s="26" t="str">
        <x:v>Desk-review score; validate with developer and user evidence</x:v>
      </x:c>
    </x:row>
    <x:row r="14" ht="44" customHeight="1">
      <x:c r="A14" s="26" t="str">
        <x:v>D2-010</x:v>
      </x:c>
      <x:c r="B14" s="26" t="str">
        <x:v>e-Kadiwa / Kadiwa Digital Market Channels</x:v>
      </x:c>
      <x:c r="C14" s="26" t="str">
        <x:v>Government partnership</x:v>
      </x:c>
      <x:c r="D14" s="26" t="str">
        <x:v>Markets, e-commerce &amp; logistics</x:v>
      </x:c>
      <x:c r="E14" s="26" t="str">
        <x:v>Status unverified</x:v>
      </x:c>
      <x:c r="F14" s="26" t="str">
        <x:v>Medium</x:v>
      </x:c>
      <x:c r="G14" s="30" t="n">
        <x:v>2</x:v>
      </x:c>
      <x:c r="H14" s="30" t="n">
        <x:v>0</x:v>
      </x:c>
      <x:c r="I14" s="30" t="n">
        <x:v>1</x:v>
      </x:c>
      <x:c r="J14" s="30" t="n">
        <x:v>1</x:v>
      </x:c>
      <x:c r="K14" s="30" t="n">
        <x:v>1</x:v>
      </x:c>
      <x:c r="L14" s="30" t="n">
        <x:v>3</x:v>
      </x:c>
      <x:c r="M14" s="30" t="n">
        <x:v>1</x:v>
      </x:c>
      <x:c r="N14" s="30" t="n">
        <x:v>2</x:v>
      </x:c>
      <x:c r="O14" s="30" t="n">
        <x:v>3</x:v>
      </x:c>
      <x:c r="P14" s="30" t="n">
        <x:v>2</x:v>
      </x:c>
      <x:c r="Q14" s="30" t="n">
        <x:v>1</x:v>
      </x:c>
      <x:c r="R14" s="30" t="n">
        <x:v>1</x:v>
      </x:c>
      <x:c r="S14" s="30" t="n">
        <x:v>1</x:v>
      </x:c>
      <x:c r="T14" s="30" t="n">
        <x:v>2</x:v>
      </x:c>
      <x:c r="U14" s="34" t="n">
        <x:f>AVERAGE(G14:T14)</x:f>
        <x:v>1.5</x:v>
      </x:c>
      <x:c r="V14" s="30" t="n">
        <x:f>COUNTIF(G14:T14,"&lt;=1")</x:f>
        <x:v>8</x:v>
      </x:c>
      <x:c r="W14" s="26" t="str">
        <x:v>Platform continuity, logistics, inventory reliability and fragmented regional versions</x:v>
      </x:c>
      <x:c r="X14" s="26" t="str">
        <x:v>Medium</x:v>
      </x:c>
      <x:c r="Y14" s="26" t="str">
        <x:v>Desk-review score; validate with developer and user evidence</x:v>
      </x:c>
    </x:row>
    <x:row r="15" ht="44" customHeight="1">
      <x:c r="A15" s="26" t="str">
        <x:v>D2-011</x:v>
      </x:c>
      <x:c r="B15" s="26" t="str">
        <x:v>Agro-Climatic Advisory Portal</x:v>
      </x:c>
      <x:c r="C15" s="26" t="str">
        <x:v>National government</x:v>
      </x:c>
      <x:c r="D15" s="26" t="str">
        <x:v>Climate, weather &amp; early warning</x:v>
      </x:c>
      <x:c r="E15" s="26" t="str">
        <x:v>Active / operational</x:v>
      </x:c>
      <x:c r="F15" s="26" t="str">
        <x:v>High</x:v>
      </x:c>
      <x:c r="G15" s="30" t="n">
        <x:v>2</x:v>
      </x:c>
      <x:c r="H15" s="30" t="n">
        <x:v>2</x:v>
      </x:c>
      <x:c r="I15" s="30" t="n">
        <x:v>1</x:v>
      </x:c>
      <x:c r="J15" s="30" t="n">
        <x:v>1</x:v>
      </x:c>
      <x:c r="K15" s="30" t="n">
        <x:v>3</x:v>
      </x:c>
      <x:c r="L15" s="30" t="n">
        <x:v>2</x:v>
      </x:c>
      <x:c r="M15" s="30" t="n">
        <x:v>1</x:v>
      </x:c>
      <x:c r="N15" s="30" t="n">
        <x:v>2</x:v>
      </x:c>
      <x:c r="O15" s="30" t="n">
        <x:v>2</x:v>
      </x:c>
      <x:c r="P15" s="30" t="n">
        <x:v>3</x:v>
      </x:c>
      <x:c r="Q15" s="30" t="n">
        <x:v>2</x:v>
      </x:c>
      <x:c r="R15" s="30" t="n">
        <x:v>1</x:v>
      </x:c>
      <x:c r="S15" s="30" t="n">
        <x:v>2</x:v>
      </x:c>
      <x:c r="T15" s="30" t="n">
        <x:v>2</x:v>
      </x:c>
      <x:c r="U15" s="34" t="n">
        <x:f>AVERAGE(G15:T15)</x:f>
        <x:v>1.8571428571428572</x:v>
      </x:c>
      <x:c r="V15" s="30" t="n">
        <x:f>COUNTIF(G15:T15,"&lt;=1")</x:f>
        <x:v>4</x:v>
      </x:c>
      <x:c r="W15" s="26" t="str">
        <x:v>Localization, uncertainty communication, last-mile delivery and feedback</x:v>
      </x:c>
      <x:c r="X15" s="26" t="str">
        <x:v>High</x:v>
      </x:c>
      <x:c r="Y15" s="26" t="str">
        <x:v>Desk-review score; validate with developer and user evidence</x:v>
      </x:c>
    </x:row>
    <x:row r="16" ht="44" customHeight="1">
      <x:c r="A16" s="26" t="str">
        <x:v>D2-012</x:v>
      </x:c>
      <x:c r="B16" s="26" t="str">
        <x:v>National Color-Coded Agricultural Guide Map</x:v>
      </x:c>
      <x:c r="C16" s="26" t="str">
        <x:v>National government</x:v>
      </x:c>
      <x:c r="D16" s="26" t="str">
        <x:v>Climate, weather &amp; early warning</x:v>
      </x:c>
      <x:c r="E16" s="26" t="str">
        <x:v>Status unverified</x:v>
      </x:c>
      <x:c r="F16" s="26" t="str">
        <x:v>Medium</x:v>
      </x:c>
      <x:c r="G16" s="30" t="n">
        <x:v>2</x:v>
      </x:c>
      <x:c r="H16" s="30" t="n">
        <x:v>0</x:v>
      </x:c>
      <x:c r="I16" s="30" t="n">
        <x:v>1</x:v>
      </x:c>
      <x:c r="J16" s="30" t="n">
        <x:v>1</x:v>
      </x:c>
      <x:c r="K16" s="30" t="n">
        <x:v>1</x:v>
      </x:c>
      <x:c r="L16" s="30" t="n">
        <x:v>2</x:v>
      </x:c>
      <x:c r="M16" s="30" t="n">
        <x:v>1</x:v>
      </x:c>
      <x:c r="N16" s="30" t="n">
        <x:v>2</x:v>
      </x:c>
      <x:c r="O16" s="30" t="n">
        <x:v>2</x:v>
      </x:c>
      <x:c r="P16" s="30" t="n">
        <x:v>2</x:v>
      </x:c>
      <x:c r="Q16" s="30" t="n">
        <x:v>1</x:v>
      </x:c>
      <x:c r="R16" s="30" t="n">
        <x:v>1</x:v>
      </x:c>
      <x:c r="S16" s="30" t="n">
        <x:v>1</x:v>
      </x:c>
      <x:c r="T16" s="30" t="n">
        <x:v>2</x:v>
      </x:c>
      <x:c r="U16" s="34" t="n">
        <x:f>AVERAGE(G16:T16)</x:f>
        <x:v>1.3571428571428572</x:v>
      </x:c>
      <x:c r="V16" s="30" t="n">
        <x:f>COUNTIF(G16:T16,"&lt;=1")</x:f>
        <x:v>8</x:v>
      </x:c>
      <x:c r="W16" s="26" t="str">
        <x:v>Update frequency, validation and conflicting suitability outputs</x:v>
      </x:c>
      <x:c r="X16" s="26" t="str">
        <x:v>High</x:v>
      </x:c>
      <x:c r="Y16" s="26" t="str">
        <x:v>Desk-review score; validate with developer and user evidence</x:v>
      </x:c>
    </x:row>
    <x:row r="17" ht="44" customHeight="1">
      <x:c r="A17" s="26" t="str">
        <x:v>D2-013</x:v>
      </x:c>
      <x:c r="B17" s="26" t="str">
        <x:v>AMIA Climate-Risk Vulnerability Assessment</x:v>
      </x:c>
      <x:c r="C17" s="26" t="str">
        <x:v>Government–research partnership</x:v>
      </x:c>
      <x:c r="D17" s="26" t="str">
        <x:v>Climate, weather &amp; early warning</x:v>
      </x:c>
      <x:c r="E17" s="26" t="str">
        <x:v>Active / operational</x:v>
      </x:c>
      <x:c r="F17" s="26" t="str">
        <x:v>High</x:v>
      </x:c>
      <x:c r="G17" s="30" t="n">
        <x:v>3</x:v>
      </x:c>
      <x:c r="H17" s="30" t="n">
        <x:v>2</x:v>
      </x:c>
      <x:c r="I17" s="30" t="n">
        <x:v>2</x:v>
      </x:c>
      <x:c r="J17" s="30" t="n">
        <x:v>2</x:v>
      </x:c>
      <x:c r="K17" s="30" t="n">
        <x:v>3</x:v>
      </x:c>
      <x:c r="L17" s="30" t="n">
        <x:v>3</x:v>
      </x:c>
      <x:c r="M17" s="30" t="n">
        <x:v>1</x:v>
      </x:c>
      <x:c r="N17" s="30" t="n">
        <x:v>3</x:v>
      </x:c>
      <x:c r="O17" s="30" t="n">
        <x:v>2</x:v>
      </x:c>
      <x:c r="P17" s="30" t="n">
        <x:v>2</x:v>
      </x:c>
      <x:c r="Q17" s="30" t="n">
        <x:v>1</x:v>
      </x:c>
      <x:c r="R17" s="30" t="n">
        <x:v>1</x:v>
      </x:c>
      <x:c r="S17" s="30" t="n">
        <x:v>3</x:v>
      </x:c>
      <x:c r="T17" s="30" t="n">
        <x:v>2</x:v>
      </x:c>
      <x:c r="U17" s="34" t="n">
        <x:f>AVERAGE(G17:T17)</x:f>
        <x:v>2.142857142857143</x:v>
      </x:c>
      <x:c r="V17" s="30" t="n">
        <x:f>COUNTIF(G17:T17,"&lt;=1")</x:f>
        <x:v>3</x:v>
      </x:c>
      <x:c r="W17" s="26" t="str">
        <x:v>Keeping layers current and converting maps into funded farm actions</x:v>
      </x:c>
      <x:c r="X17" s="26" t="str">
        <x:v>High</x:v>
      </x:c>
      <x:c r="Y17" s="26" t="str">
        <x:v>Desk-review score; validate with developer and user evidence</x:v>
      </x:c>
    </x:row>
    <x:row r="18" ht="44" customHeight="1">
      <x:c r="A18" s="26" t="str">
        <x:v>D2-014</x:v>
      </x:c>
      <x:c r="B18" s="26" t="str">
        <x:v>Digital Soil Fertility Maps</x:v>
      </x:c>
      <x:c r="C18" s="26" t="str">
        <x:v>National / regional government</x:v>
      </x:c>
      <x:c r="D18" s="26" t="str">
        <x:v>Inputs, seed &amp; nutrient tools</x:v>
      </x:c>
      <x:c r="E18" s="26" t="str">
        <x:v>Active / operational</x:v>
      </x:c>
      <x:c r="F18" s="26" t="str">
        <x:v>High</x:v>
      </x:c>
      <x:c r="G18" s="30" t="n">
        <x:v>2</x:v>
      </x:c>
      <x:c r="H18" s="30" t="n">
        <x:v>2</x:v>
      </x:c>
      <x:c r="I18" s="30" t="n">
        <x:v>1</x:v>
      </x:c>
      <x:c r="J18" s="30" t="n">
        <x:v>1</x:v>
      </x:c>
      <x:c r="K18" s="30" t="n">
        <x:v>3</x:v>
      </x:c>
      <x:c r="L18" s="30" t="n">
        <x:v>2</x:v>
      </x:c>
      <x:c r="M18" s="30" t="n">
        <x:v>1</x:v>
      </x:c>
      <x:c r="N18" s="30" t="n">
        <x:v>2</x:v>
      </x:c>
      <x:c r="O18" s="30" t="n">
        <x:v>2</x:v>
      </x:c>
      <x:c r="P18" s="30" t="n">
        <x:v>2</x:v>
      </x:c>
      <x:c r="Q18" s="30" t="n">
        <x:v>2</x:v>
      </x:c>
      <x:c r="R18" s="30" t="n">
        <x:v>1</x:v>
      </x:c>
      <x:c r="S18" s="30" t="n">
        <x:v>2</x:v>
      </x:c>
      <x:c r="T18" s="30" t="n">
        <x:v>2</x:v>
      </x:c>
      <x:c r="U18" s="34" t="n">
        <x:f>AVERAGE(G18:T18)</x:f>
        <x:v>1.7857142857142858</x:v>
      </x:c>
      <x:c r="V18" s="30" t="n">
        <x:f>COUNTIF(G18:T18,"&lt;=1")</x:f>
        <x:v>4</x:v>
      </x:c>
      <x:c r="W18" s="26" t="str">
        <x:v>Sampling density, laboratory harmonization, uncertainty and update cycles</x:v>
      </x:c>
      <x:c r="X18" s="26" t="str">
        <x:v>High</x:v>
      </x:c>
      <x:c r="Y18" s="26" t="str">
        <x:v>Desk-review score; validate with developer and user evidence</x:v>
      </x:c>
    </x:row>
    <x:row r="19" ht="44" customHeight="1">
      <x:c r="A19" s="26" t="str">
        <x:v>D2-015</x:v>
      </x:c>
      <x:c r="B19" s="26" t="str">
        <x:v>Philippine Rice Information System</x:v>
      </x:c>
      <x:c r="C19" s="26" t="str">
        <x:v>Government–international partnership</x:v>
      </x:c>
      <x:c r="D19" s="26" t="str">
        <x:v>Precision agriculture, EO, drones &amp; IoT</x:v>
      </x:c>
      <x:c r="E19" s="26" t="str">
        <x:v>Active / operational</x:v>
      </x:c>
      <x:c r="F19" s="26" t="str">
        <x:v>High</x:v>
      </x:c>
      <x:c r="G19" s="30" t="n">
        <x:v>3</x:v>
      </x:c>
      <x:c r="H19" s="30" t="n">
        <x:v>2</x:v>
      </x:c>
      <x:c r="I19" s="30" t="n">
        <x:v>2</x:v>
      </x:c>
      <x:c r="J19" s="30" t="n">
        <x:v>2</x:v>
      </x:c>
      <x:c r="K19" s="30" t="n">
        <x:v>1</x:v>
      </x:c>
      <x:c r="L19" s="30" t="n">
        <x:v>3</x:v>
      </x:c>
      <x:c r="M19" s="30" t="n">
        <x:v>2</x:v>
      </x:c>
      <x:c r="N19" s="30" t="n">
        <x:v>3</x:v>
      </x:c>
      <x:c r="O19" s="30" t="n">
        <x:v>2</x:v>
      </x:c>
      <x:c r="P19" s="30" t="n">
        <x:v>2</x:v>
      </x:c>
      <x:c r="Q19" s="30" t="n">
        <x:v>1</x:v>
      </x:c>
      <x:c r="R19" s="30" t="n">
        <x:v>2</x:v>
      </x:c>
      <x:c r="S19" s="30" t="n">
        <x:v>3</x:v>
      </x:c>
      <x:c r="T19" s="30" t="n">
        <x:v>2</x:v>
      </x:c>
      <x:c r="U19" s="34" t="n">
        <x:f>AVERAGE(G19:T19)</x:f>
        <x:v>2.142857142857143</x:v>
      </x:c>
      <x:c r="V19" s="30" t="n">
        <x:f>COUNTIF(G19:T19,"&lt;=1")</x:f>
        <x:v>2</x:v>
      </x:c>
      <x:c r="W19" s="26" t="str">
        <x:v>Ground validation, cloud cover, timeliness and public data services</x:v>
      </x:c>
      <x:c r="X19" s="26" t="str">
        <x:v>High</x:v>
      </x:c>
      <x:c r="Y19" s="26" t="str">
        <x:v>Desk-review score; validate with developer and user evidence</x:v>
      </x:c>
    </x:row>
    <x:row r="20" ht="44" customHeight="1">
      <x:c r="A20" s="26" t="str">
        <x:v>D2-016</x:v>
      </x:c>
      <x:c r="B20" s="26" t="str">
        <x:v>Pest and Disease Risk Identification and Management</x:v>
      </x:c>
      <x:c r="C20" s="26" t="str">
        <x:v>Government–research partnership</x:v>
      </x:c>
      <x:c r="D20" s="26" t="str">
        <x:v>Pest, disease &amp; biosecurity</x:v>
      </x:c>
      <x:c r="E20" s="26" t="str">
        <x:v>Active / operational</x:v>
      </x:c>
      <x:c r="F20" s="26" t="str">
        <x:v>High</x:v>
      </x:c>
      <x:c r="G20" s="30" t="n">
        <x:v>2</x:v>
      </x:c>
      <x:c r="H20" s="30" t="n">
        <x:v>2</x:v>
      </x:c>
      <x:c r="I20" s="30" t="n">
        <x:v>1</x:v>
      </x:c>
      <x:c r="J20" s="30" t="n">
        <x:v>1</x:v>
      </x:c>
      <x:c r="K20" s="30" t="n">
        <x:v>3</x:v>
      </x:c>
      <x:c r="L20" s="30" t="n">
        <x:v>3</x:v>
      </x:c>
      <x:c r="M20" s="30" t="n">
        <x:v>2</x:v>
      </x:c>
      <x:c r="N20" s="30" t="n">
        <x:v>2</x:v>
      </x:c>
      <x:c r="O20" s="30" t="n">
        <x:v>2</x:v>
      </x:c>
      <x:c r="P20" s="30" t="n">
        <x:v>2</x:v>
      </x:c>
      <x:c r="Q20" s="30" t="n">
        <x:v>1</x:v>
      </x:c>
      <x:c r="R20" s="30" t="n">
        <x:v>2</x:v>
      </x:c>
      <x:c r="S20" s="30" t="n">
        <x:v>2</x:v>
      </x:c>
      <x:c r="T20" s="30" t="n">
        <x:v>2</x:v>
      </x:c>
      <x:c r="U20" s="34" t="n">
        <x:f>AVERAGE(G20:T20)</x:f>
        <x:v>1.9285714285714286</x:v>
      </x:c>
      <x:c r="V20" s="30" t="n">
        <x:f>COUNTIF(G20:T20,"&lt;=1")</x:f>
        <x:v>3</x:v>
      </x:c>
      <x:c r="W20" s="26" t="str">
        <x:v>Data continuity, thresholds, validation and action feedback</x:v>
      </x:c>
      <x:c r="X20" s="26" t="str">
        <x:v>High</x:v>
      </x:c>
      <x:c r="Y20" s="26" t="str">
        <x:v>Desk-review score; validate with developer and user evidence</x:v>
      </x:c>
    </x:row>
    <x:row r="21" ht="44" customHeight="1">
      <x:c r="A21" s="26" t="str">
        <x:v>D2-017</x:v>
      </x:c>
      <x:c r="B21" s="26" t="str">
        <x:v>Smarter Approaches to Reinvigorate Agriculture as an Industry in the Philippines</x:v>
      </x:c>
      <x:c r="C21" s="26" t="str">
        <x:v>SUC / research consortium</x:v>
      </x:c>
      <x:c r="D21" s="26" t="str">
        <x:v>Climate, weather &amp; early warning</x:v>
      </x:c>
      <x:c r="E21" s="26" t="str">
        <x:v>Active / operational</x:v>
      </x:c>
      <x:c r="F21" s="26" t="str">
        <x:v>High</x:v>
      </x:c>
      <x:c r="G21" s="30" t="n">
        <x:v>1</x:v>
      </x:c>
      <x:c r="H21" s="30" t="n">
        <x:v>2</x:v>
      </x:c>
      <x:c r="I21" s="30" t="n">
        <x:v>1</x:v>
      </x:c>
      <x:c r="J21" s="30" t="n">
        <x:v>1</x:v>
      </x:c>
      <x:c r="K21" s="30" t="n">
        <x:v>1</x:v>
      </x:c>
      <x:c r="L21" s="30" t="n">
        <x:v>2</x:v>
      </x:c>
      <x:c r="M21" s="30" t="n">
        <x:v>2</x:v>
      </x:c>
      <x:c r="N21" s="30" t="n">
        <x:v>2</x:v>
      </x:c>
      <x:c r="O21" s="30" t="n">
        <x:v>2</x:v>
      </x:c>
      <x:c r="P21" s="30" t="n">
        <x:v>1</x:v>
      </x:c>
      <x:c r="Q21" s="30" t="n">
        <x:v>1</x:v>
      </x:c>
      <x:c r="R21" s="30" t="n">
        <x:v>1</x:v>
      </x:c>
      <x:c r="S21" s="30" t="n">
        <x:v>2</x:v>
      </x:c>
      <x:c r="T21" s="30" t="n">
        <x:v>2</x:v>
      </x:c>
      <x:c r="U21" s="34" t="n">
        <x:f>AVERAGE(G21:T21)</x:f>
        <x:v>1.5</x:v>
      </x:c>
      <x:c r="V21" s="30" t="n">
        <x:f>COUNTIF(G21:T21,"&lt;=1")</x:f>
        <x:v>7</x:v>
      </x:c>
      <x:c r="W21" s="26" t="str">
        <x:v>Post-project maintenance, overlap, hosting and institutional ownership</x:v>
      </x:c>
      <x:c r="X21" s="26" t="str">
        <x:v>High</x:v>
      </x:c>
      <x:c r="Y21" s="26" t="str">
        <x:v>Desk-review score; validate with developer and user evidence</x:v>
      </x:c>
    </x:row>
    <x:row r="22" ht="44" customHeight="1">
      <x:c r="A22" s="26" t="str">
        <x:v>D2-018</x:v>
      </x:c>
      <x:c r="B22" s="26" t="str">
        <x:v>Remote Sensing and Data Science Help Desk</x:v>
      </x:c>
      <x:c r="C22" s="26" t="str">
        <x:v>National research institute</x:v>
      </x:c>
      <x:c r="D22" s="26" t="str">
        <x:v>Precision agriculture, EO, drones &amp; IoT</x:v>
      </x:c>
      <x:c r="E22" s="26" t="str">
        <x:v>Active / operational</x:v>
      </x:c>
      <x:c r="F22" s="26" t="str">
        <x:v>High</x:v>
      </x:c>
      <x:c r="G22" s="30" t="n">
        <x:v>3</x:v>
      </x:c>
      <x:c r="H22" s="30" t="n">
        <x:v>2</x:v>
      </x:c>
      <x:c r="I22" s="30" t="n">
        <x:v>2</x:v>
      </x:c>
      <x:c r="J22" s="30" t="n">
        <x:v>2</x:v>
      </x:c>
      <x:c r="K22" s="30" t="n">
        <x:v>1</x:v>
      </x:c>
      <x:c r="L22" s="30" t="n">
        <x:v>2</x:v>
      </x:c>
      <x:c r="M22" s="30" t="n">
        <x:v>1</x:v>
      </x:c>
      <x:c r="N22" s="30" t="n">
        <x:v>3</x:v>
      </x:c>
      <x:c r="O22" s="30" t="n">
        <x:v>2</x:v>
      </x:c>
      <x:c r="P22" s="30" t="n">
        <x:v>1</x:v>
      </x:c>
      <x:c r="Q22" s="30" t="n">
        <x:v>2</x:v>
      </x:c>
      <x:c r="R22" s="30" t="n">
        <x:v>1</x:v>
      </x:c>
      <x:c r="S22" s="30" t="n">
        <x:v>3</x:v>
      </x:c>
      <x:c r="T22" s="30" t="n">
        <x:v>2</x:v>
      </x:c>
      <x:c r="U22" s="34" t="n">
        <x:f>AVERAGE(G22:T22)</x:f>
        <x:v>1.9285714285714286</x:v>
      </x:c>
      <x:c r="V22" s="30" t="n">
        <x:f>COUNTIF(G22:T22,"&lt;=1")</x:f>
        <x:v>4</x:v>
      </x:c>
      <x:c r="W22" s="26" t="str">
        <x:v>Project-based continuity and conversion of models into maintained services</x:v>
      </x:c>
      <x:c r="X22" s="26" t="str">
        <x:v>High</x:v>
      </x:c>
      <x:c r="Y22" s="26" t="str">
        <x:v>Desk-review score; validate with developer and user evidence</x:v>
      </x:c>
    </x:row>
    <x:row r="23" ht="44" customHeight="1">
      <x:c r="A23" s="26" t="str">
        <x:v>D2-019</x:v>
      </x:c>
      <x:c r="B23" s="26" t="str">
        <x:v>AI-Powered Weather Forecasting for a Resilient Philippines</x:v>
      </x:c>
      <x:c r="C23" s="26" t="str">
        <x:v>National government / R&amp;D partnership</x:v>
      </x:c>
      <x:c r="D23" s="26" t="str">
        <x:v>Climate, weather &amp; early warning</x:v>
      </x:c>
      <x:c r="E23" s="26" t="str">
        <x:v>Project ongoing</x:v>
      </x:c>
      <x:c r="F23" s="26" t="str">
        <x:v>High</x:v>
      </x:c>
      <x:c r="G23" s="30" t="n">
        <x:v>1</x:v>
      </x:c>
      <x:c r="H23" s="30" t="n">
        <x:v>1</x:v>
      </x:c>
      <x:c r="I23" s="30" t="n">
        <x:v>1</x:v>
      </x:c>
      <x:c r="J23" s="30" t="n">
        <x:v>1</x:v>
      </x:c>
      <x:c r="K23" s="30" t="n">
        <x:v>1</x:v>
      </x:c>
      <x:c r="L23" s="30" t="n">
        <x:v>3</x:v>
      </x:c>
      <x:c r="M23" s="30" t="n">
        <x:v>2</x:v>
      </x:c>
      <x:c r="N23" s="30" t="n">
        <x:v>2</x:v>
      </x:c>
      <x:c r="O23" s="30" t="n">
        <x:v>2</x:v>
      </x:c>
      <x:c r="P23" s="30" t="n">
        <x:v>2</x:v>
      </x:c>
      <x:c r="Q23" s="30" t="n">
        <x:v>2</x:v>
      </x:c>
      <x:c r="R23" s="30" t="n">
        <x:v>1</x:v>
      </x:c>
      <x:c r="S23" s="30" t="n">
        <x:v>1</x:v>
      </x:c>
      <x:c r="T23" s="30" t="n">
        <x:v>2</x:v>
      </x:c>
      <x:c r="U23" s="34" t="n">
        <x:f>AVERAGE(G23:T23)</x:f>
        <x:v>1.5714285714285714</x:v>
      </x:c>
      <x:c r="V23" s="30" t="n">
        <x:f>COUNTIF(G23:T23,"&lt;=1")</x:f>
        <x:v>7</x:v>
      </x:c>
      <x:c r="W23" s="26" t="str">
        <x:v>Operational validation, model governance and agriculture-specific last-mile use</x:v>
      </x:c>
      <x:c r="X23" s="26" t="str">
        <x:v>High</x:v>
      </x:c>
      <x:c r="Y23" s="26" t="str">
        <x:v>Desk-review score; validate with developer and user evidence</x:v>
      </x:c>
    </x:row>
    <x:row r="24" ht="44" customHeight="1">
      <x:c r="A24" s="26" t="str">
        <x:v>D2-020</x:v>
      </x:c>
      <x:c r="B24" s="26" t="str">
        <x:v>Philippine Rice Statistics and Information System</x:v>
      </x:c>
      <x:c r="C24" s="26" t="str">
        <x:v>National research institute</x:v>
      </x:c>
      <x:c r="D24" s="26" t="str">
        <x:v>Data infrastructure, interoperability &amp; dashboards</x:v>
      </x:c>
      <x:c r="E24" s="26" t="str">
        <x:v>Active / operational</x:v>
      </x:c>
      <x:c r="F24" s="26" t="str">
        <x:v>High</x:v>
      </x:c>
      <x:c r="G24" s="30" t="n">
        <x:v>2</x:v>
      </x:c>
      <x:c r="H24" s="30" t="n">
        <x:v>2</x:v>
      </x:c>
      <x:c r="I24" s="30" t="n">
        <x:v>1</x:v>
      </x:c>
      <x:c r="J24" s="30" t="n">
        <x:v>1</x:v>
      </x:c>
      <x:c r="K24" s="30" t="n">
        <x:v>1</x:v>
      </x:c>
      <x:c r="L24" s="30" t="n">
        <x:v>2</x:v>
      </x:c>
      <x:c r="M24" s="30" t="n">
        <x:v>2</x:v>
      </x:c>
      <x:c r="N24" s="30" t="n">
        <x:v>2</x:v>
      </x:c>
      <x:c r="O24" s="30" t="n">
        <x:v>2</x:v>
      </x:c>
      <x:c r="P24" s="30" t="n">
        <x:v>1</x:v>
      </x:c>
      <x:c r="Q24" s="30" t="n">
        <x:v>1</x:v>
      </x:c>
      <x:c r="R24" s="30" t="n">
        <x:v>1</x:v>
      </x:c>
      <x:c r="S24" s="30" t="n">
        <x:v>2</x:v>
      </x:c>
      <x:c r="T24" s="30" t="n">
        <x:v>2</x:v>
      </x:c>
      <x:c r="U24" s="34" t="n">
        <x:f>AVERAGE(G24:T24)</x:f>
        <x:v>1.5714285714285714</x:v>
      </x:c>
      <x:c r="V24" s="30" t="n">
        <x:f>COUNTIF(G24:T24,"&lt;=1")</x:f>
        <x:v>6</x:v>
      </x:c>
      <x:c r="W24" s="26" t="str">
        <x:v>Data freshness, metadata consistency and machine-readable access</x:v>
      </x:c>
      <x:c r="X24" s="26" t="str">
        <x:v>High</x:v>
      </x:c>
      <x:c r="Y24" s="26" t="str">
        <x:v>Desk-review score; validate with developer and user evidence</x:v>
      </x:c>
    </x:row>
    <x:row r="25" ht="44" customHeight="1">
      <x:c r="A25" s="26" t="str">
        <x:v>D2-021</x:v>
      </x:c>
      <x:c r="B25" s="26" t="str">
        <x:v>RiceLytics</x:v>
      </x:c>
      <x:c r="C25" s="26" t="str">
        <x:v>National research institute</x:v>
      </x:c>
      <x:c r="D25" s="26" t="str">
        <x:v>Data infrastructure, interoperability &amp; dashboards</x:v>
      </x:c>
      <x:c r="E25" s="26" t="str">
        <x:v>Active / operational</x:v>
      </x:c>
      <x:c r="F25" s="26" t="str">
        <x:v>High</x:v>
      </x:c>
      <x:c r="G25" s="30" t="n">
        <x:v>2</x:v>
      </x:c>
      <x:c r="H25" s="30" t="n">
        <x:v>2</x:v>
      </x:c>
      <x:c r="I25" s="30" t="n">
        <x:v>1</x:v>
      </x:c>
      <x:c r="J25" s="30" t="n">
        <x:v>1</x:v>
      </x:c>
      <x:c r="K25" s="30" t="n">
        <x:v>1</x:v>
      </x:c>
      <x:c r="L25" s="30" t="n">
        <x:v>2</x:v>
      </x:c>
      <x:c r="M25" s="30" t="n">
        <x:v>2</x:v>
      </x:c>
      <x:c r="N25" s="30" t="n">
        <x:v>2</x:v>
      </x:c>
      <x:c r="O25" s="30" t="n">
        <x:v>2</x:v>
      </x:c>
      <x:c r="P25" s="30" t="n">
        <x:v>1</x:v>
      </x:c>
      <x:c r="Q25" s="30" t="n">
        <x:v>1</x:v>
      </x:c>
      <x:c r="R25" s="30" t="n">
        <x:v>1</x:v>
      </x:c>
      <x:c r="S25" s="30" t="n">
        <x:v>2</x:v>
      </x:c>
      <x:c r="T25" s="30" t="n">
        <x:v>2</x:v>
      </x:c>
      <x:c r="U25" s="34" t="n">
        <x:f>AVERAGE(G25:T25)</x:f>
        <x:v>1.5714285714285714</x:v>
      </x:c>
      <x:c r="V25" s="30" t="n">
        <x:f>COUNTIF(G25:T25,"&lt;=1")</x:f>
        <x:v>6</x:v>
      </x:c>
      <x:c r="W25" s="26" t="str">
        <x:v>Data refresh, duplicated indicators and API access</x:v>
      </x:c>
      <x:c r="X25" s="26" t="str">
        <x:v>High</x:v>
      </x:c>
      <x:c r="Y25" s="26" t="str">
        <x:v>Desk-review score; validate with developer and user evidence</x:v>
      </x:c>
    </x:row>
    <x:row r="26" ht="44" customHeight="1">
      <x:c r="A26" s="26" t="str">
        <x:v>D2-022</x:v>
      </x:c>
      <x:c r="B26" s="26" t="str">
        <x:v>PhilRice Climate-Smart Maps</x:v>
      </x:c>
      <x:c r="C26" s="26" t="str">
        <x:v>National research institute</x:v>
      </x:c>
      <x:c r="D26" s="26" t="str">
        <x:v>Climate, weather &amp; early warning</x:v>
      </x:c>
      <x:c r="E26" s="26" t="str">
        <x:v>Status unverified</x:v>
      </x:c>
      <x:c r="F26" s="26" t="str">
        <x:v>Medium</x:v>
      </x:c>
      <x:c r="G26" s="30" t="n">
        <x:v>2</x:v>
      </x:c>
      <x:c r="H26" s="30" t="n">
        <x:v>0</x:v>
      </x:c>
      <x:c r="I26" s="30" t="n">
        <x:v>1</x:v>
      </x:c>
      <x:c r="J26" s="30" t="n">
        <x:v>1</x:v>
      </x:c>
      <x:c r="K26" s="30" t="n">
        <x:v>3</x:v>
      </x:c>
      <x:c r="L26" s="30" t="n">
        <x:v>2</x:v>
      </x:c>
      <x:c r="M26" s="30" t="n">
        <x:v>1</x:v>
      </x:c>
      <x:c r="N26" s="30" t="n">
        <x:v>2</x:v>
      </x:c>
      <x:c r="O26" s="30" t="n">
        <x:v>2</x:v>
      </x:c>
      <x:c r="P26" s="30" t="n">
        <x:v>1</x:v>
      </x:c>
      <x:c r="Q26" s="30" t="n">
        <x:v>2</x:v>
      </x:c>
      <x:c r="R26" s="30" t="n">
        <x:v>1</x:v>
      </x:c>
      <x:c r="S26" s="30" t="n">
        <x:v>1</x:v>
      </x:c>
      <x:c r="T26" s="30" t="n">
        <x:v>2</x:v>
      </x:c>
      <x:c r="U26" s="34" t="n">
        <x:f>AVERAGE(G26:T26)</x:f>
        <x:v>1.5</x:v>
      </x:c>
      <x:c r="V26" s="30" t="n">
        <x:f>COUNTIF(G26:T26,"&lt;=1")</x:f>
        <x:v>7</x:v>
      </x:c>
      <x:c r="W26" s="26" t="str">
        <x:v>Current hosting, update frequency and local validation</x:v>
      </x:c>
      <x:c r="X26" s="26" t="str">
        <x:v>High</x:v>
      </x:c>
      <x:c r="Y26" s="26" t="str">
        <x:v>Desk-review score; validate with developer and user evidence</x:v>
      </x:c>
    </x:row>
    <x:row r="27" ht="44" customHeight="1">
      <x:c r="A27" s="26" t="str">
        <x:v>D2-023</x:v>
      </x:c>
      <x:c r="B27" s="26" t="str">
        <x:v>Rice Crop Manager Advisory Service</x:v>
      </x:c>
      <x:c r="C27" s="26" t="str">
        <x:v>Government–international partnership</x:v>
      </x:c>
      <x:c r="D27" s="26" t="str">
        <x:v>Farm management &amp; decision support</x:v>
      </x:c>
      <x:c r="E27" s="26" t="str">
        <x:v>Active / transition / operational</x:v>
      </x:c>
      <x:c r="F27" s="26" t="str">
        <x:v>High</x:v>
      </x:c>
      <x:c r="G27" s="30" t="n">
        <x:v>3</x:v>
      </x:c>
      <x:c r="H27" s="30" t="n">
        <x:v>0</x:v>
      </x:c>
      <x:c r="I27" s="30" t="n">
        <x:v>2</x:v>
      </x:c>
      <x:c r="J27" s="30" t="n">
        <x:v>2</x:v>
      </x:c>
      <x:c r="K27" s="30" t="n">
        <x:v>3</x:v>
      </x:c>
      <x:c r="L27" s="30" t="n">
        <x:v>3</x:v>
      </x:c>
      <x:c r="M27" s="30" t="n">
        <x:v>2</x:v>
      </x:c>
      <x:c r="N27" s="30" t="n">
        <x:v>3</x:v>
      </x:c>
      <x:c r="O27" s="30" t="n">
        <x:v>2</x:v>
      </x:c>
      <x:c r="P27" s="30" t="n">
        <x:v>2</x:v>
      </x:c>
      <x:c r="Q27" s="30" t="n">
        <x:v>2</x:v>
      </x:c>
      <x:c r="R27" s="30" t="n">
        <x:v>2</x:v>
      </x:c>
      <x:c r="S27" s="30" t="n">
        <x:v>3</x:v>
      </x:c>
      <x:c r="T27" s="30" t="n">
        <x:v>3</x:v>
      </x:c>
      <x:c r="U27" s="34" t="n">
        <x:f>AVERAGE(G27:T27)</x:f>
        <x:v>2.2857142857142856</x:v>
      </x:c>
      <x:c r="V27" s="30" t="n">
        <x:f>COUNTIF(G27:T27,"&lt;=1")</x:f>
        <x:v>1</x:v>
      </x:c>
      <x:c r="W27" s="26" t="str">
        <x:v>Actual adoption, repeated use, data-entry burden and transition ownership</x:v>
      </x:c>
      <x:c r="X27" s="26" t="str">
        <x:v>High</x:v>
      </x:c>
      <x:c r="Y27" s="26" t="str">
        <x:v>Desk-review score; validate with developer and user evidence</x:v>
      </x:c>
    </x:row>
    <x:row r="28" ht="44" customHeight="1">
      <x:c r="A28" s="26" t="str">
        <x:v>D2-024</x:v>
      </x:c>
      <x:c r="B28" s="26" t="str">
        <x:v>SeedCast</x:v>
      </x:c>
      <x:c r="C28" s="26" t="str">
        <x:v>International research partnership</x:v>
      </x:c>
      <x:c r="D28" s="26" t="str">
        <x:v>Inputs, seed &amp; nutrient tools</x:v>
      </x:c>
      <x:c r="E28" s="26" t="str">
        <x:v>Status unverified</x:v>
      </x:c>
      <x:c r="F28" s="26" t="str">
        <x:v>Medium</x:v>
      </x:c>
      <x:c r="G28" s="30" t="n">
        <x:v>1</x:v>
      </x:c>
      <x:c r="H28" s="30" t="n">
        <x:v>0</x:v>
      </x:c>
      <x:c r="I28" s="30" t="n">
        <x:v>1</x:v>
      </x:c>
      <x:c r="J28" s="30" t="n">
        <x:v>1</x:v>
      </x:c>
      <x:c r="K28" s="30" t="n">
        <x:v>1</x:v>
      </x:c>
      <x:c r="L28" s="30" t="n">
        <x:v>3</x:v>
      </x:c>
      <x:c r="M28" s="30" t="n">
        <x:v>1</x:v>
      </x:c>
      <x:c r="N28" s="30" t="n">
        <x:v>2</x:v>
      </x:c>
      <x:c r="O28" s="30" t="n">
        <x:v>2</x:v>
      </x:c>
      <x:c r="P28" s="30" t="n">
        <x:v>1</x:v>
      </x:c>
      <x:c r="Q28" s="30" t="n">
        <x:v>2</x:v>
      </x:c>
      <x:c r="R28" s="30" t="n">
        <x:v>1</x:v>
      </x:c>
      <x:c r="S28" s="30" t="n">
        <x:v>1</x:v>
      </x:c>
      <x:c r="T28" s="30" t="n">
        <x:v>2</x:v>
      </x:c>
      <x:c r="U28" s="34" t="n">
        <x:f>AVERAGE(G28:T28)</x:f>
        <x:v>1.3571428571428572</x:v>
      </x:c>
      <x:c r="V28" s="30" t="n">
        <x:f>COUNTIF(G28:T28,"&lt;=1")</x:f>
        <x:v>9</x:v>
      </x:c>
      <x:c r="W28" s="26" t="str">
        <x:v>Current deployment, ownership, demand-data quality and procurement linkage</x:v>
      </x:c>
      <x:c r="X28" s="26" t="str">
        <x:v>Medium</x:v>
      </x:c>
      <x:c r="Y28" s="26" t="str">
        <x:v>Desk-review score; validate with developer and user evidence</x:v>
      </x:c>
    </x:row>
    <x:row r="29" ht="44" customHeight="1">
      <x:c r="A29" s="26" t="str">
        <x:v>D2-025</x:v>
      </x:c>
      <x:c r="B29" s="26" t="str">
        <x:v>4DFarms</x:v>
      </x:c>
      <x:c r="C29" s="26" t="str">
        <x:v>Government–international partnership</x:v>
      </x:c>
      <x:c r="D29" s="26" t="str">
        <x:v>Precision agriculture, EO, drones &amp; IoT</x:v>
      </x:c>
      <x:c r="E29" s="26" t="str">
        <x:v>Project ongoing</x:v>
      </x:c>
      <x:c r="F29" s="26" t="str">
        <x:v>Low</x:v>
      </x:c>
      <x:c r="G29" s="30" t="n">
        <x:v>1</x:v>
      </x:c>
      <x:c r="H29" s="30" t="n">
        <x:v>1</x:v>
      </x:c>
      <x:c r="I29" s="30" t="n">
        <x:v>1</x:v>
      </x:c>
      <x:c r="J29" s="30" t="n">
        <x:v>1</x:v>
      </x:c>
      <x:c r="K29" s="30" t="n">
        <x:v>1</x:v>
      </x:c>
      <x:c r="L29" s="30" t="n">
        <x:v>1</x:v>
      </x:c>
      <x:c r="M29" s="30" t="n">
        <x:v>1</x:v>
      </x:c>
      <x:c r="N29" s="30" t="n">
        <x:v>1</x:v>
      </x:c>
      <x:c r="O29" s="30" t="n">
        <x:v>1</x:v>
      </x:c>
      <x:c r="P29" s="30" t="n">
        <x:v>1</x:v>
      </x:c>
      <x:c r="Q29" s="30" t="n">
        <x:v>1</x:v>
      </x:c>
      <x:c r="R29" s="30" t="n">
        <x:v>1</x:v>
      </x:c>
      <x:c r="S29" s="30" t="n">
        <x:v>1</x:v>
      </x:c>
      <x:c r="T29" s="30" t="n">
        <x:v>1</x:v>
      </x:c>
      <x:c r="U29" s="34" t="n">
        <x:f>AVERAGE(G29:T29)</x:f>
        <x:v>1</x:v>
      </x:c>
      <x:c r="V29" s="30" t="n">
        <x:f>COUNTIF(G29:T29,"&lt;=1")</x:f>
        <x:v>14</x:v>
      </x:c>
      <x:c r="W29" s="26" t="str">
        <x:v>Package definition, affordability, service model and evidence beyond demonstrations</x:v>
      </x:c>
      <x:c r="X29" s="26" t="str">
        <x:v>Medium</x:v>
      </x:c>
      <x:c r="Y29" s="26" t="str">
        <x:v>Desk-review score; validate with developer and user evidence</x:v>
      </x:c>
    </x:row>
    <x:row r="30" ht="44" customHeight="1">
      <x:c r="A30" s="26" t="str">
        <x:v>D2-026</x:v>
      </x:c>
      <x:c r="B30" s="26" t="str">
        <x:v>Scaling Rice Crop Manager</x:v>
      </x:c>
      <x:c r="C30" s="26" t="str">
        <x:v>Government–international partnership</x:v>
      </x:c>
      <x:c r="D30" s="26" t="str">
        <x:v>Farm management &amp; decision support</x:v>
      </x:c>
      <x:c r="E30" s="26" t="str">
        <x:v>Project ongoing</x:v>
      </x:c>
      <x:c r="F30" s="26" t="str">
        <x:v>Low</x:v>
      </x:c>
      <x:c r="G30" s="30" t="n">
        <x:v>1</x:v>
      </x:c>
      <x:c r="H30" s="30" t="n">
        <x:v>1</x:v>
      </x:c>
      <x:c r="I30" s="30" t="n">
        <x:v>1</x:v>
      </x:c>
      <x:c r="J30" s="30" t="n">
        <x:v>1</x:v>
      </x:c>
      <x:c r="K30" s="30" t="n">
        <x:v>1</x:v>
      </x:c>
      <x:c r="L30" s="30" t="n">
        <x:v>1</x:v>
      </x:c>
      <x:c r="M30" s="30" t="n">
        <x:v>1</x:v>
      </x:c>
      <x:c r="N30" s="30" t="n">
        <x:v>1</x:v>
      </x:c>
      <x:c r="O30" s="30" t="n">
        <x:v>1</x:v>
      </x:c>
      <x:c r="P30" s="30" t="n">
        <x:v>1</x:v>
      </x:c>
      <x:c r="Q30" s="30" t="n">
        <x:v>1</x:v>
      </x:c>
      <x:c r="R30" s="30" t="n">
        <x:v>1</x:v>
      </x:c>
      <x:c r="S30" s="30" t="n">
        <x:v>1</x:v>
      </x:c>
      <x:c r="T30" s="30" t="n">
        <x:v>1</x:v>
      </x:c>
      <x:c r="U30" s="34" t="n">
        <x:f>AVERAGE(G30:T30)</x:f>
        <x:v>1</x:v>
      </x:c>
      <x:c r="V30" s="30" t="n">
        <x:f>COUNTIF(G30:T30,"&lt;=1")</x:f>
        <x:v>14</x:v>
      </x:c>
      <x:c r="W30" s="26" t="str">
        <x:v>Sustained delivery cost, ownership, adoption tracking and feedback</x:v>
      </x:c>
      <x:c r="X30" s="26" t="str">
        <x:v>High</x:v>
      </x:c>
      <x:c r="Y30" s="26" t="str">
        <x:v>Desk-review score; validate with developer and user evidence</x:v>
      </x:c>
    </x:row>
    <x:row r="31" ht="44" customHeight="1">
      <x:c r="A31" s="26" t="str">
        <x:v>D2-027</x:v>
      </x:c>
      <x:c r="B31" s="26" t="str">
        <x:v>Drones4Rice</x:v>
      </x:c>
      <x:c r="C31" s="26" t="str">
        <x:v>Government–international–private partnership</x:v>
      </x:c>
      <x:c r="D31" s="26" t="str">
        <x:v>Precision agriculture, EO, drones &amp; IoT</x:v>
      </x:c>
      <x:c r="E31" s="26" t="str">
        <x:v>Project ongoing</x:v>
      </x:c>
      <x:c r="F31" s="26" t="str">
        <x:v>High</x:v>
      </x:c>
      <x:c r="G31" s="30" t="n">
        <x:v>1</x:v>
      </x:c>
      <x:c r="H31" s="30" t="n">
        <x:v>1</x:v>
      </x:c>
      <x:c r="I31" s="30" t="n">
        <x:v>1</x:v>
      </x:c>
      <x:c r="J31" s="30" t="n">
        <x:v>1</x:v>
      </x:c>
      <x:c r="K31" s="30" t="n">
        <x:v>1</x:v>
      </x:c>
      <x:c r="L31" s="30" t="n">
        <x:v>3</x:v>
      </x:c>
      <x:c r="M31" s="30" t="n">
        <x:v>1</x:v>
      </x:c>
      <x:c r="N31" s="30" t="n">
        <x:v>2</x:v>
      </x:c>
      <x:c r="O31" s="30" t="n">
        <x:v>2</x:v>
      </x:c>
      <x:c r="P31" s="30" t="n">
        <x:v>2</x:v>
      </x:c>
      <x:c r="Q31" s="30" t="n">
        <x:v>2</x:v>
      </x:c>
      <x:c r="R31" s="30" t="n">
        <x:v>2</x:v>
      </x:c>
      <x:c r="S31" s="30" t="n">
        <x:v>1</x:v>
      </x:c>
      <x:c r="T31" s="30" t="n">
        <x:v>2</x:v>
      </x:c>
      <x:c r="U31" s="34" t="n">
        <x:f>AVERAGE(G31:T31)</x:f>
        <x:v>1.5714285714285714</x:v>
      </x:c>
      <x:c r="V31" s="30" t="n">
        <x:f>COUNTIF(G31:T31,"&lt;=1")</x:f>
        <x:v>7</x:v>
      </x:c>
      <x:c r="W31" s="26" t="str">
        <x:v>Cost, regulation, liability, calibration, skills and fragmented farms</x:v>
      </x:c>
      <x:c r="X31" s="26" t="str">
        <x:v>High</x:v>
      </x:c>
      <x:c r="Y31" s="26" t="str">
        <x:v>Desk-review score; validate with developer and user evidence</x:v>
      </x:c>
    </x:row>
    <x:row r="32" ht="44" customHeight="1">
      <x:c r="A32" s="26" t="str">
        <x:v>D2-028</x:v>
      </x:c>
      <x:c r="B32" s="26" t="str">
        <x:v>Binhing Palay</x:v>
      </x:c>
      <x:c r="C32" s="26" t="str">
        <x:v>National research institute</x:v>
      </x:c>
      <x:c r="D32" s="26" t="str">
        <x:v>Inputs, seed &amp; nutrient tools</x:v>
      </x:c>
      <x:c r="E32" s="26" t="str">
        <x:v>Active / operational</x:v>
      </x:c>
      <x:c r="F32" s="26" t="str">
        <x:v>High</x:v>
      </x:c>
      <x:c r="G32" s="30" t="n">
        <x:v>2</x:v>
      </x:c>
      <x:c r="H32" s="30" t="n">
        <x:v>2</x:v>
      </x:c>
      <x:c r="I32" s="30" t="n">
        <x:v>1</x:v>
      </x:c>
      <x:c r="J32" s="30" t="n">
        <x:v>1</x:v>
      </x:c>
      <x:c r="K32" s="30" t="n">
        <x:v>3</x:v>
      </x:c>
      <x:c r="L32" s="30" t="n">
        <x:v>2</x:v>
      </x:c>
      <x:c r="M32" s="30" t="n">
        <x:v>1</x:v>
      </x:c>
      <x:c r="N32" s="30" t="n">
        <x:v>2</x:v>
      </x:c>
      <x:c r="O32" s="30" t="n">
        <x:v>2</x:v>
      </x:c>
      <x:c r="P32" s="30" t="n">
        <x:v>1</x:v>
      </x:c>
      <x:c r="Q32" s="30" t="n">
        <x:v>2</x:v>
      </x:c>
      <x:c r="R32" s="30" t="n">
        <x:v>1</x:v>
      </x:c>
      <x:c r="S32" s="30" t="n">
        <x:v>2</x:v>
      </x:c>
      <x:c r="T32" s="30" t="n">
        <x:v>3</x:v>
      </x:c>
      <x:c r="U32" s="34" t="n">
        <x:f>AVERAGE(G32:T32)</x:f>
        <x:v>1.7857142857142858</x:v>
      </x:c>
      <x:c r="V32" s="30" t="n">
        <x:f>COUNTIF(G32:T32,"&lt;=1")</x:f>
        <x:v>5</x:v>
      </x:c>
      <x:c r="W32" s="26" t="str">
        <x:v>Keeping variety, suitability and certified-seed availability current</x:v>
      </x:c>
      <x:c r="X32" s="26" t="str">
        <x:v>High</x:v>
      </x:c>
      <x:c r="Y32" s="26" t="str">
        <x:v>Desk-review score; validate with developer and user evidence</x:v>
      </x:c>
    </x:row>
    <x:row r="33" ht="44" customHeight="1">
      <x:c r="A33" s="26" t="str">
        <x:v>D2-029</x:v>
      </x:c>
      <x:c r="B33" s="26" t="str">
        <x:v>e-Damuhan</x:v>
      </x:c>
      <x:c r="C33" s="26" t="str">
        <x:v>National research institute</x:v>
      </x:c>
      <x:c r="D33" s="26" t="str">
        <x:v>Pest, disease &amp; biosecurity</x:v>
      </x:c>
      <x:c r="E33" s="26" t="str">
        <x:v>Active / operational</x:v>
      </x:c>
      <x:c r="F33" s="26" t="str">
        <x:v>High</x:v>
      </x:c>
      <x:c r="G33" s="30" t="n">
        <x:v>2</x:v>
      </x:c>
      <x:c r="H33" s="30" t="n">
        <x:v>2</x:v>
      </x:c>
      <x:c r="I33" s="30" t="n">
        <x:v>1</x:v>
      </x:c>
      <x:c r="J33" s="30" t="n">
        <x:v>1</x:v>
      </x:c>
      <x:c r="K33" s="30" t="n">
        <x:v>3</x:v>
      </x:c>
      <x:c r="L33" s="30" t="n">
        <x:v>2</x:v>
      </x:c>
      <x:c r="M33" s="30" t="n">
        <x:v>2</x:v>
      </x:c>
      <x:c r="N33" s="30" t="n">
        <x:v>2</x:v>
      </x:c>
      <x:c r="O33" s="30" t="n">
        <x:v>2</x:v>
      </x:c>
      <x:c r="P33" s="30" t="n">
        <x:v>1</x:v>
      </x:c>
      <x:c r="Q33" s="30" t="n">
        <x:v>1</x:v>
      </x:c>
      <x:c r="R33" s="30" t="n">
        <x:v>1</x:v>
      </x:c>
      <x:c r="S33" s="30" t="n">
        <x:v>2</x:v>
      </x:c>
      <x:c r="T33" s="30" t="n">
        <x:v>3</x:v>
      </x:c>
      <x:c r="U33" s="34" t="n">
        <x:f>AVERAGE(G33:T33)</x:f>
        <x:v>1.7857142857142858</x:v>
      </x:c>
      <x:c r="V33" s="30" t="n">
        <x:f>COUNTIF(G33:T33,"&lt;=1")</x:f>
        <x:v>5</x:v>
      </x:c>
      <x:c r="W33" s="26" t="str">
        <x:v>Image quality, model/library updates, confidence and safe advice</x:v>
      </x:c>
      <x:c r="X33" s="26" t="str">
        <x:v>High</x:v>
      </x:c>
      <x:c r="Y33" s="26" t="str">
        <x:v>Desk-review score; validate with developer and user evidence</x:v>
      </x:c>
    </x:row>
    <x:row r="34" ht="44" customHeight="1">
      <x:c r="A34" s="26" t="str">
        <x:v>D2-030</x:v>
      </x:c>
      <x:c r="B34" s="26" t="str">
        <x:v>Minus-One Element Technique App</x:v>
      </x:c>
      <x:c r="C34" s="26" t="str">
        <x:v>National research institute</x:v>
      </x:c>
      <x:c r="D34" s="26" t="str">
        <x:v>Inputs, seed &amp; nutrient tools</x:v>
      </x:c>
      <x:c r="E34" s="26" t="str">
        <x:v>Active / operational</x:v>
      </x:c>
      <x:c r="F34" s="26" t="str">
        <x:v>High</x:v>
      </x:c>
      <x:c r="G34" s="30" t="n">
        <x:v>2</x:v>
      </x:c>
      <x:c r="H34" s="30" t="n">
        <x:v>2</x:v>
      </x:c>
      <x:c r="I34" s="30" t="n">
        <x:v>1</x:v>
      </x:c>
      <x:c r="J34" s="30" t="n">
        <x:v>1</x:v>
      </x:c>
      <x:c r="K34" s="30" t="n">
        <x:v>3</x:v>
      </x:c>
      <x:c r="L34" s="30" t="n">
        <x:v>2</x:v>
      </x:c>
      <x:c r="M34" s="30" t="n">
        <x:v>1</x:v>
      </x:c>
      <x:c r="N34" s="30" t="n">
        <x:v>2</x:v>
      </x:c>
      <x:c r="O34" s="30" t="n">
        <x:v>2</x:v>
      </x:c>
      <x:c r="P34" s="30" t="n">
        <x:v>1</x:v>
      </x:c>
      <x:c r="Q34" s="30" t="n">
        <x:v>1</x:v>
      </x:c>
      <x:c r="R34" s="30" t="n">
        <x:v>2</x:v>
      </x:c>
      <x:c r="S34" s="30" t="n">
        <x:v>2</x:v>
      </x:c>
      <x:c r="T34" s="30" t="n">
        <x:v>2</x:v>
      </x:c>
      <x:c r="U34" s="34" t="n">
        <x:f>AVERAGE(G34:T34)</x:f>
        <x:v>1.7142857142857142</x:v>
      </x:c>
      <x:c r="V34" s="30" t="n">
        <x:f>COUNTIF(G34:T34,"&lt;=1")</x:f>
        <x:v>5</x:v>
      </x:c>
      <x:c r="W34" s="26" t="str">
        <x:v>Sampling quality, user training and linkage to field records</x:v>
      </x:c>
      <x:c r="X34" s="26" t="str">
        <x:v>High</x:v>
      </x:c>
      <x:c r="Y34" s="26" t="str">
        <x:v>Desk-review score; validate with developer and user evidence</x:v>
      </x:c>
    </x:row>
    <x:row r="35" ht="44" customHeight="1">
      <x:c r="A35" s="26" t="str">
        <x:v>D2-031</x:v>
      </x:c>
      <x:c r="B35" s="26" t="str">
        <x:v>Leaf Color Chart App Pro</x:v>
      </x:c>
      <x:c r="C35" s="26" t="str">
        <x:v>National research institute</x:v>
      </x:c>
      <x:c r="D35" s="26" t="str">
        <x:v>Inputs, seed &amp; nutrient tools</x:v>
      </x:c>
      <x:c r="E35" s="26" t="str">
        <x:v>Active / operational</x:v>
      </x:c>
      <x:c r="F35" s="26" t="str">
        <x:v>High</x:v>
      </x:c>
      <x:c r="G35" s="30" t="n">
        <x:v>2</x:v>
      </x:c>
      <x:c r="H35" s="30" t="n">
        <x:v>2</x:v>
      </x:c>
      <x:c r="I35" s="30" t="n">
        <x:v>1</x:v>
      </x:c>
      <x:c r="J35" s="30" t="n">
        <x:v>1</x:v>
      </x:c>
      <x:c r="K35" s="30" t="n">
        <x:v>3</x:v>
      </x:c>
      <x:c r="L35" s="30" t="n">
        <x:v>2</x:v>
      </x:c>
      <x:c r="M35" s="30" t="n">
        <x:v>1</x:v>
      </x:c>
      <x:c r="N35" s="30" t="n">
        <x:v>2</x:v>
      </x:c>
      <x:c r="O35" s="30" t="n">
        <x:v>2</x:v>
      </x:c>
      <x:c r="P35" s="30" t="n">
        <x:v>1</x:v>
      </x:c>
      <x:c r="Q35" s="30" t="n">
        <x:v>1</x:v>
      </x:c>
      <x:c r="R35" s="30" t="n">
        <x:v>2</x:v>
      </x:c>
      <x:c r="S35" s="30" t="n">
        <x:v>2</x:v>
      </x:c>
      <x:c r="T35" s="30" t="n">
        <x:v>3</x:v>
      </x:c>
      <x:c r="U35" s="34" t="n">
        <x:f>AVERAGE(G35:T35)</x:f>
        <x:v>1.7857142857142858</x:v>
      </x:c>
      <x:c r="V35" s="30" t="n">
        <x:f>COUNTIF(G35:T35,"&lt;=1")</x:f>
        <x:v>5</x:v>
      </x:c>
      <x:c r="W35" s="26" t="str">
        <x:v>Calibration across devices, lighting and user technique</x:v>
      </x:c>
      <x:c r="X35" s="26" t="str">
        <x:v>High</x:v>
      </x:c>
      <x:c r="Y35" s="26" t="str">
        <x:v>Desk-review score; validate with developer and user evidence</x:v>
      </x:c>
    </x:row>
    <x:row r="36" ht="44" customHeight="1">
      <x:c r="A36" s="26" t="str">
        <x:v>D2-032</x:v>
      </x:c>
      <x:c r="B36" s="26" t="str">
        <x:v>PalayCheck App</x:v>
      </x:c>
      <x:c r="C36" s="26" t="str">
        <x:v>National research institute</x:v>
      </x:c>
      <x:c r="D36" s="26" t="str">
        <x:v>Farm management &amp; decision support</x:v>
      </x:c>
      <x:c r="E36" s="26" t="str">
        <x:v>Active / operational</x:v>
      </x:c>
      <x:c r="F36" s="26" t="str">
        <x:v>High</x:v>
      </x:c>
      <x:c r="G36" s="30" t="n">
        <x:v>2</x:v>
      </x:c>
      <x:c r="H36" s="30" t="n">
        <x:v>2</x:v>
      </x:c>
      <x:c r="I36" s="30" t="n">
        <x:v>1</x:v>
      </x:c>
      <x:c r="J36" s="30" t="n">
        <x:v>1</x:v>
      </x:c>
      <x:c r="K36" s="30" t="n">
        <x:v>3</x:v>
      </x:c>
      <x:c r="L36" s="30" t="n">
        <x:v>2</x:v>
      </x:c>
      <x:c r="M36" s="30" t="n">
        <x:v>2</x:v>
      </x:c>
      <x:c r="N36" s="30" t="n">
        <x:v>2</x:v>
      </x:c>
      <x:c r="O36" s="30" t="n">
        <x:v>2</x:v>
      </x:c>
      <x:c r="P36" s="30" t="n">
        <x:v>1</x:v>
      </x:c>
      <x:c r="Q36" s="30" t="n">
        <x:v>1</x:v>
      </x:c>
      <x:c r="R36" s="30" t="n">
        <x:v>1</x:v>
      </x:c>
      <x:c r="S36" s="30" t="n">
        <x:v>2</x:v>
      </x:c>
      <x:c r="T36" s="30" t="n">
        <x:v>2</x:v>
      </x:c>
      <x:c r="U36" s="34" t="n">
        <x:f>AVERAGE(G36:T36)</x:f>
        <x:v>1.7142857142857142</x:v>
      </x:c>
      <x:c r="V36" s="30" t="n">
        <x:f>COUNTIF(G36:T36,"&lt;=1")</x:f>
        <x:v>5</x:v>
      </x:c>
      <x:c r="W36" s="26" t="str">
        <x:v>Data-entry burden, personalization, continued engagement and outcome tracking</x:v>
      </x:c>
      <x:c r="X36" s="26" t="str">
        <x:v>High</x:v>
      </x:c>
      <x:c r="Y36" s="26" t="str">
        <x:v>Desk-review score; validate with developer and user evidence</x:v>
      </x:c>
    </x:row>
    <x:row r="37" ht="44" customHeight="1">
      <x:c r="A37" s="26" t="str">
        <x:v>D2-033</x:v>
      </x:c>
      <x:c r="B37" s="26" t="str">
        <x:v>AgriDoc App</x:v>
      </x:c>
      <x:c r="C37" s="26" t="str">
        <x:v>National government / research</x:v>
      </x:c>
      <x:c r="D37" s="26" t="str">
        <x:v>Advisory &amp; e-extension</x:v>
      </x:c>
      <x:c r="E37" s="26" t="str">
        <x:v>Status unverified</x:v>
      </x:c>
      <x:c r="F37" s="26" t="str">
        <x:v>Medium</x:v>
      </x:c>
      <x:c r="G37" s="30" t="n">
        <x:v>2</x:v>
      </x:c>
      <x:c r="H37" s="30" t="n">
        <x:v>0</x:v>
      </x:c>
      <x:c r="I37" s="30" t="n">
        <x:v>1</x:v>
      </x:c>
      <x:c r="J37" s="30" t="n">
        <x:v>1</x:v>
      </x:c>
      <x:c r="K37" s="30" t="n">
        <x:v>3</x:v>
      </x:c>
      <x:c r="L37" s="30" t="n">
        <x:v>2</x:v>
      </x:c>
      <x:c r="M37" s="30" t="n">
        <x:v>1</x:v>
      </x:c>
      <x:c r="N37" s="30" t="n">
        <x:v>2</x:v>
      </x:c>
      <x:c r="O37" s="30" t="n">
        <x:v>2</x:v>
      </x:c>
      <x:c r="P37" s="30" t="n">
        <x:v>2</x:v>
      </x:c>
      <x:c r="Q37" s="30" t="n">
        <x:v>2</x:v>
      </x:c>
      <x:c r="R37" s="30" t="n">
        <x:v>1</x:v>
      </x:c>
      <x:c r="S37" s="30" t="n">
        <x:v>1</x:v>
      </x:c>
      <x:c r="T37" s="30" t="n">
        <x:v>2</x:v>
      </x:c>
      <x:c r="U37" s="34" t="n">
        <x:f>AVERAGE(G37:T37)</x:f>
        <x:v>1.5714285714285714</x:v>
      </x:c>
      <x:c r="V37" s="30" t="n">
        <x:f>COUNTIF(G37:T37,"&lt;=1")</x:f>
        <x:v>6</x:v>
      </x:c>
      <x:c r="W37" s="26" t="str">
        <x:v>Small user base, maintenance and overlap with newer apps</x:v>
      </x:c>
      <x:c r="X37" s="26" t="str">
        <x:v>Low</x:v>
      </x:c>
      <x:c r="Y37" s="26" t="str">
        <x:v>Desk-review score; validate with developer and user evidence</x:v>
      </x:c>
    </x:row>
    <x:row r="38" ht="44" customHeight="1">
      <x:c r="A38" s="26" t="str">
        <x:v>D2-034</x:v>
      </x:c>
      <x:c r="B38" s="26" t="str">
        <x:v>WateRice</x:v>
      </x:c>
      <x:c r="C38" s="26" t="str">
        <x:v>National research institute</x:v>
      </x:c>
      <x:c r="D38" s="26" t="str">
        <x:v>Farm management &amp; decision support</x:v>
      </x:c>
      <x:c r="E38" s="26" t="str">
        <x:v>Status unverified</x:v>
      </x:c>
      <x:c r="F38" s="26" t="str">
        <x:v>Low</x:v>
      </x:c>
      <x:c r="G38" s="30" t="n">
        <x:v>1</x:v>
      </x:c>
      <x:c r="H38" s="30" t="n">
        <x:v>0</x:v>
      </x:c>
      <x:c r="I38" s="30" t="n">
        <x:v>1</x:v>
      </x:c>
      <x:c r="J38" s="30" t="n">
        <x:v>1</x:v>
      </x:c>
      <x:c r="K38" s="30" t="n">
        <x:v>1</x:v>
      </x:c>
      <x:c r="L38" s="30" t="n">
        <x:v>1</x:v>
      </x:c>
      <x:c r="M38" s="30" t="n">
        <x:v>1</x:v>
      </x:c>
      <x:c r="N38" s="30" t="n">
        <x:v>1</x:v>
      </x:c>
      <x:c r="O38" s="30" t="n">
        <x:v>1</x:v>
      </x:c>
      <x:c r="P38" s="30" t="n">
        <x:v>1</x:v>
      </x:c>
      <x:c r="Q38" s="30" t="n">
        <x:v>1</x:v>
      </x:c>
      <x:c r="R38" s="30" t="n">
        <x:v>1</x:v>
      </x:c>
      <x:c r="S38" s="30" t="n">
        <x:v>1</x:v>
      </x:c>
      <x:c r="T38" s="30" t="n">
        <x:v>1</x:v>
      </x:c>
      <x:c r="U38" s="34" t="n">
        <x:f>AVERAGE(G38:T38)</x:f>
        <x:v>0.9285714285714286</x:v>
      </x:c>
      <x:c r="V38" s="30" t="n">
        <x:f>COUNTIF(G38:T38,"&lt;=1")</x:f>
        <x:v>14</x:v>
      </x:c>
      <x:c r="W38" s="26" t="str">
        <x:v>Current maintenance, weather/sensor integration and irrigation-institution linkage</x:v>
      </x:c>
      <x:c r="X38" s="26" t="str">
        <x:v>Medium</x:v>
      </x:c>
      <x:c r="Y38" s="26" t="str">
        <x:v>Desk-review score; validate with developer and user evidence</x:v>
      </x:c>
    </x:row>
    <x:row r="39" ht="44" customHeight="1">
      <x:c r="A39" s="26" t="str">
        <x:v>D2-035</x:v>
      </x:c>
      <x:c r="B39" s="26" t="str">
        <x:v>Pinoy Rice Knowledge Bank</x:v>
      </x:c>
      <x:c r="C39" s="26" t="str">
        <x:v>National research institute</x:v>
      </x:c>
      <x:c r="D39" s="26" t="str">
        <x:v>Advisory &amp; e-extension</x:v>
      </x:c>
      <x:c r="E39" s="26" t="str">
        <x:v>Active / operational</x:v>
      </x:c>
      <x:c r="F39" s="26" t="str">
        <x:v>High</x:v>
      </x:c>
      <x:c r="G39" s="30" t="n">
        <x:v>2</x:v>
      </x:c>
      <x:c r="H39" s="30" t="n">
        <x:v>2</x:v>
      </x:c>
      <x:c r="I39" s="30" t="n">
        <x:v>1</x:v>
      </x:c>
      <x:c r="J39" s="30" t="n">
        <x:v>1</x:v>
      </x:c>
      <x:c r="K39" s="30" t="n">
        <x:v>3</x:v>
      </x:c>
      <x:c r="L39" s="30" t="n">
        <x:v>2</x:v>
      </x:c>
      <x:c r="M39" s="30" t="n">
        <x:v>1</x:v>
      </x:c>
      <x:c r="N39" s="30" t="n">
        <x:v>2</x:v>
      </x:c>
      <x:c r="O39" s="30" t="n">
        <x:v>2</x:v>
      </x:c>
      <x:c r="P39" s="30" t="n">
        <x:v>1</x:v>
      </x:c>
      <x:c r="Q39" s="30" t="n">
        <x:v>2</x:v>
      </x:c>
      <x:c r="R39" s="30" t="n">
        <x:v>1</x:v>
      </x:c>
      <x:c r="S39" s="30" t="n">
        <x:v>2</x:v>
      </x:c>
      <x:c r="T39" s="30" t="n">
        <x:v>2</x:v>
      </x:c>
      <x:c r="U39" s="34" t="n">
        <x:f>AVERAGE(G39:T39)</x:f>
        <x:v>1.7142857142857142</x:v>
      </x:c>
      <x:c r="V39" s="30" t="n">
        <x:f>COUNTIF(G39:T39,"&lt;=1")</x:f>
        <x:v>5</x:v>
      </x:c>
      <x:c r="W39" s="26" t="str">
        <x:v>Content freshness, discoverability, duplication and accessibility</x:v>
      </x:c>
      <x:c r="X39" s="26" t="str">
        <x:v>High</x:v>
      </x:c>
      <x:c r="Y39" s="26" t="str">
        <x:v>Desk-review score; validate with developer and user evidence</x:v>
      </x:c>
    </x:row>
    <x:row r="40" ht="44" customHeight="1">
      <x:c r="A40" s="26" t="str">
        <x:v>D2-036</x:v>
      </x:c>
      <x:c r="B40" s="26" t="str">
        <x:v>IRRI Rice Knowledge Bank</x:v>
      </x:c>
      <x:c r="C40" s="26" t="str">
        <x:v>International research institute</x:v>
      </x:c>
      <x:c r="D40" s="26" t="str">
        <x:v>Advisory &amp; e-extension</x:v>
      </x:c>
      <x:c r="E40" s="26" t="str">
        <x:v>Active / operational</x:v>
      </x:c>
      <x:c r="F40" s="26" t="str">
        <x:v>High</x:v>
      </x:c>
      <x:c r="G40" s="30" t="n">
        <x:v>3</x:v>
      </x:c>
      <x:c r="H40" s="30" t="n">
        <x:v>2</x:v>
      </x:c>
      <x:c r="I40" s="30" t="n">
        <x:v>2</x:v>
      </x:c>
      <x:c r="J40" s="30" t="n">
        <x:v>2</x:v>
      </x:c>
      <x:c r="K40" s="30" t="n">
        <x:v>3</x:v>
      </x:c>
      <x:c r="L40" s="30" t="n">
        <x:v>2</x:v>
      </x:c>
      <x:c r="M40" s="30" t="n">
        <x:v>1</x:v>
      </x:c>
      <x:c r="N40" s="30" t="n">
        <x:v>3</x:v>
      </x:c>
      <x:c r="O40" s="30" t="n">
        <x:v>2</x:v>
      </x:c>
      <x:c r="P40" s="30" t="n">
        <x:v>1</x:v>
      </x:c>
      <x:c r="Q40" s="30" t="n">
        <x:v>2</x:v>
      </x:c>
      <x:c r="R40" s="30" t="n">
        <x:v>1</x:v>
      </x:c>
      <x:c r="S40" s="30" t="n">
        <x:v>3</x:v>
      </x:c>
      <x:c r="T40" s="30" t="n">
        <x:v>2</x:v>
      </x:c>
      <x:c r="U40" s="34" t="n">
        <x:f>AVERAGE(G40:T40)</x:f>
        <x:v>2.0714285714285716</x:v>
      </x:c>
      <x:c r="V40" s="30" t="n">
        <x:f>COUNTIF(G40:T40,"&lt;=1")</x:f>
        <x:v>3</x:v>
      </x:c>
      <x:c r="W40" s="26" t="str">
        <x:v>Localization and alignment with current national recommendations</x:v>
      </x:c>
      <x:c r="X40" s="26" t="str">
        <x:v>Medium</x:v>
      </x:c>
      <x:c r="Y40" s="26" t="str">
        <x:v>Desk-review score; validate with developer and user evidence</x:v>
      </x:c>
    </x:row>
    <x:row r="41" ht="44" customHeight="1">
      <x:c r="A41" s="26" t="str">
        <x:v>D2-037</x:v>
      </x:c>
      <x:c r="B41" s="26" t="str">
        <x:v>Smarter Pest Identification Technology</x:v>
      </x:c>
      <x:c r="C41" s="26" t="str">
        <x:v>SUC / research consortium</x:v>
      </x:c>
      <x:c r="D41" s="26" t="str">
        <x:v>Pest, disease &amp; biosecurity</x:v>
      </x:c>
      <x:c r="E41" s="26" t="str">
        <x:v>Active / operational</x:v>
      </x:c>
      <x:c r="F41" s="26" t="str">
        <x:v>High</x:v>
      </x:c>
      <x:c r="G41" s="30" t="n">
        <x:v>2</x:v>
      </x:c>
      <x:c r="H41" s="30" t="n">
        <x:v>2</x:v>
      </x:c>
      <x:c r="I41" s="30" t="n">
        <x:v>1</x:v>
      </x:c>
      <x:c r="J41" s="30" t="n">
        <x:v>1</x:v>
      </x:c>
      <x:c r="K41" s="30" t="n">
        <x:v>3</x:v>
      </x:c>
      <x:c r="L41" s="30" t="n">
        <x:v>2</x:v>
      </x:c>
      <x:c r="M41" s="30" t="n">
        <x:v>1</x:v>
      </x:c>
      <x:c r="N41" s="30" t="n">
        <x:v>2</x:v>
      </x:c>
      <x:c r="O41" s="30" t="n">
        <x:v>2</x:v>
      </x:c>
      <x:c r="P41" s="30" t="n">
        <x:v>1</x:v>
      </x:c>
      <x:c r="Q41" s="30" t="n">
        <x:v>1</x:v>
      </x:c>
      <x:c r="R41" s="30" t="n">
        <x:v>2</x:v>
      </x:c>
      <x:c r="S41" s="30" t="n">
        <x:v>2</x:v>
      </x:c>
      <x:c r="T41" s="30" t="n">
        <x:v>2</x:v>
      </x:c>
      <x:c r="U41" s="34" t="n">
        <x:f>AVERAGE(G41:T41)</x:f>
        <x:v>1.7142857142857142</x:v>
      </x:c>
      <x:c r="V41" s="30" t="n">
        <x:f>COUNTIF(G41:T41,"&lt;=1")</x:f>
        <x:v>5</x:v>
      </x:c>
      <x:c r="W41" s="26" t="str">
        <x:v>Model updates, confidence, image quality, expert escalation and outcome evidence</x:v>
      </x:c>
      <x:c r="X41" s="26" t="str">
        <x:v>High</x:v>
      </x:c>
      <x:c r="Y41" s="26" t="str">
        <x:v>Desk-review score; validate with developer and user evidence</x:v>
      </x:c>
    </x:row>
    <x:row r="42" ht="44" customHeight="1">
      <x:c r="A42" s="26" t="str">
        <x:v>D2-038</x:v>
      </x:c>
      <x:c r="B42" s="26" t="str">
        <x:v>Image-based Pest Diagnosis for Enhanced Agriculture in Region II</x:v>
      </x:c>
      <x:c r="C42" s="26" t="str">
        <x:v>Regional government / R&amp;D concept</x:v>
      </x:c>
      <x:c r="D42" s="26" t="str">
        <x:v>Pest, disease &amp; biosecurity</x:v>
      </x:c>
      <x:c r="E42" s="26" t="str">
        <x:v>Pilot / prototype</x:v>
      </x:c>
      <x:c r="F42" s="26" t="str">
        <x:v>High</x:v>
      </x:c>
      <x:c r="G42" s="30" t="n">
        <x:v>1</x:v>
      </x:c>
      <x:c r="H42" s="30" t="n">
        <x:v>1</x:v>
      </x:c>
      <x:c r="I42" s="30" t="n">
        <x:v>1</x:v>
      </x:c>
      <x:c r="J42" s="30" t="n">
        <x:v>1</x:v>
      </x:c>
      <x:c r="K42" s="30" t="n">
        <x:v>3</x:v>
      </x:c>
      <x:c r="L42" s="30" t="n">
        <x:v>2</x:v>
      </x:c>
      <x:c r="M42" s="30" t="n">
        <x:v>1</x:v>
      </x:c>
      <x:c r="N42" s="30" t="n">
        <x:v>2</x:v>
      </x:c>
      <x:c r="O42" s="30" t="n">
        <x:v>2</x:v>
      </x:c>
      <x:c r="P42" s="30" t="n">
        <x:v>2</x:v>
      </x:c>
      <x:c r="Q42" s="30" t="n">
        <x:v>1</x:v>
      </x:c>
      <x:c r="R42" s="30" t="n">
        <x:v>2</x:v>
      </x:c>
      <x:c r="S42" s="30" t="n">
        <x:v>1</x:v>
      </x:c>
      <x:c r="T42" s="30" t="n">
        <x:v>2</x:v>
      </x:c>
      <x:c r="U42" s="34" t="n">
        <x:f>AVERAGE(G42:T42)</x:f>
        <x:v>1.5714285714285714</x:v>
      </x:c>
      <x:c r="V42" s="30" t="n">
        <x:f>COUNTIF(G42:T42,"&lt;=1")</x:f>
        <x:v>7</x:v>
      </x:c>
      <x:c r="W42" s="26" t="str">
        <x:v>Training data, expert validation, maintenance and duplication</x:v>
      </x:c>
      <x:c r="X42" s="26" t="str">
        <x:v>Medium</x:v>
      </x:c>
      <x:c r="Y42" s="26" t="str">
        <x:v>Desk-review score; validate with developer and user evidence</x:v>
      </x:c>
    </x:row>
    <x:row r="43" ht="44" customHeight="1">
      <x:c r="A43" s="26" t="str">
        <x:v>D2-039</x:v>
      </x:c>
      <x:c r="B43" s="26" t="str">
        <x:v>Precision and Digital Agriculture Center</x:v>
      </x:c>
      <x:c r="C43" s="26" t="str">
        <x:v>State university</x:v>
      </x:c>
      <x:c r="D43" s="26" t="str">
        <x:v>Training, capacity &amp; innovation hubs</x:v>
      </x:c>
      <x:c r="E43" s="26" t="str">
        <x:v>Active / operational</x:v>
      </x:c>
      <x:c r="F43" s="26" t="str">
        <x:v>Medium</x:v>
      </x:c>
      <x:c r="G43" s="30" t="n">
        <x:v>2</x:v>
      </x:c>
      <x:c r="H43" s="30" t="n">
        <x:v>2</x:v>
      </x:c>
      <x:c r="I43" s="30" t="n">
        <x:v>1</x:v>
      </x:c>
      <x:c r="J43" s="30" t="n">
        <x:v>1</x:v>
      </x:c>
      <x:c r="K43" s="30" t="n">
        <x:v>3</x:v>
      </x:c>
      <x:c r="L43" s="30" t="n">
        <x:v>1</x:v>
      </x:c>
      <x:c r="M43" s="30" t="n">
        <x:v>1</x:v>
      </x:c>
      <x:c r="N43" s="30" t="n">
        <x:v>1</x:v>
      </x:c>
      <x:c r="O43" s="30" t="n">
        <x:v>2</x:v>
      </x:c>
      <x:c r="P43" s="30" t="n">
        <x:v>1</x:v>
      </x:c>
      <x:c r="Q43" s="30" t="n">
        <x:v>2</x:v>
      </x:c>
      <x:c r="R43" s="30" t="n">
        <x:v>1</x:v>
      </x:c>
      <x:c r="S43" s="30" t="n">
        <x:v>2</x:v>
      </x:c>
      <x:c r="T43" s="30" t="n">
        <x:v>2</x:v>
      </x:c>
      <x:c r="U43" s="34" t="n">
        <x:f>AVERAGE(G43:T43)</x:f>
        <x:v>1.5714285714285714</x:v>
      </x:c>
      <x:c r="V43" s="30" t="n">
        <x:f>COUNTIF(G43:T43,"&lt;=1")</x:f>
        <x:v>7</x:v>
      </x:c>
      <x:c r="W43" s="26" t="str">
        <x:v>Sustainable funding, equipment maintenance and scale beyond training</x:v>
      </x:c>
      <x:c r="X43" s="26" t="str">
        <x:v>High</x:v>
      </x:c>
      <x:c r="Y43" s="26" t="str">
        <x:v>Desk-review score; validate with developer and user evidence</x:v>
      </x:c>
    </x:row>
    <x:row r="44" ht="44" customHeight="1">
      <x:c r="A44" s="26" t="str">
        <x:v>D2-040</x:v>
      </x:c>
      <x:c r="B44" s="26" t="str">
        <x:v>e-Extension Program for Agriculture and Fisheries</x:v>
      </x:c>
      <x:c r="C44" s="26" t="str">
        <x:v>National government</x:v>
      </x:c>
      <x:c r="D44" s="26" t="str">
        <x:v>Advisory &amp; e-extension</x:v>
      </x:c>
      <x:c r="E44" s="26" t="str">
        <x:v>Active / operational</x:v>
      </x:c>
      <x:c r="F44" s="26" t="str">
        <x:v>High</x:v>
      </x:c>
      <x:c r="G44" s="30" t="n">
        <x:v>3</x:v>
      </x:c>
      <x:c r="H44" s="30" t="n">
        <x:v>2</x:v>
      </x:c>
      <x:c r="I44" s="30" t="n">
        <x:v>2</x:v>
      </x:c>
      <x:c r="J44" s="30" t="n">
        <x:v>2</x:v>
      </x:c>
      <x:c r="K44" s="30" t="n">
        <x:v>3</x:v>
      </x:c>
      <x:c r="L44" s="30" t="n">
        <x:v>2</x:v>
      </x:c>
      <x:c r="M44" s="30" t="n">
        <x:v>2</x:v>
      </x:c>
      <x:c r="N44" s="30" t="n">
        <x:v>3</x:v>
      </x:c>
      <x:c r="O44" s="30" t="n">
        <x:v>2</x:v>
      </x:c>
      <x:c r="P44" s="30" t="n">
        <x:v>3</x:v>
      </x:c>
      <x:c r="Q44" s="30" t="n">
        <x:v>1</x:v>
      </x:c>
      <x:c r="R44" s="30" t="n">
        <x:v>2</x:v>
      </x:c>
      <x:c r="S44" s="30" t="n">
        <x:v>3</x:v>
      </x:c>
      <x:c r="T44" s="30" t="n">
        <x:v>2</x:v>
      </x:c>
      <x:c r="U44" s="34" t="n">
        <x:f>AVERAGE(G44:T44)</x:f>
        <x:v>2.2857142857142856</x:v>
      </x:c>
      <x:c r="V44" s="30" t="n">
        <x:f>COUNTIF(G44:T44,"&lt;=1")</x:f>
        <x:v>1</x:v>
      </x:c>
      <x:c r="W44" s="26" t="str">
        <x:v>Completion-to-adoption gap, connectivity, accessibility and learner-record fragmentation</x:v>
      </x:c>
      <x:c r="X44" s="26" t="str">
        <x:v>High</x:v>
      </x:c>
      <x:c r="Y44" s="26" t="str">
        <x:v>Desk-review score; validate with developer and user evidence</x:v>
      </x:c>
    </x:row>
    <x:row r="45" ht="44" customHeight="1">
      <x:c r="A45" s="26" t="str">
        <x:v>D2-041</x:v>
      </x:c>
      <x:c r="B45" s="26" t="str">
        <x:v>Farmers' Contact Center / e-Farming</x:v>
      </x:c>
      <x:c r="C45" s="26" t="str">
        <x:v>National government</x:v>
      </x:c>
      <x:c r="D45" s="26" t="str">
        <x:v>Advisory &amp; e-extension</x:v>
      </x:c>
      <x:c r="E45" s="26" t="str">
        <x:v>Active / operational</x:v>
      </x:c>
      <x:c r="F45" s="26" t="str">
        <x:v>High</x:v>
      </x:c>
      <x:c r="G45" s="30" t="n">
        <x:v>3</x:v>
      </x:c>
      <x:c r="H45" s="30" t="n">
        <x:v>2</x:v>
      </x:c>
      <x:c r="I45" s="30" t="n">
        <x:v>2</x:v>
      </x:c>
      <x:c r="J45" s="30" t="n">
        <x:v>2</x:v>
      </x:c>
      <x:c r="K45" s="30" t="n">
        <x:v>3</x:v>
      </x:c>
      <x:c r="L45" s="30" t="n">
        <x:v>2</x:v>
      </x:c>
      <x:c r="M45" s="30" t="n">
        <x:v>1</x:v>
      </x:c>
      <x:c r="N45" s="30" t="n">
        <x:v>3</x:v>
      </x:c>
      <x:c r="O45" s="30" t="n">
        <x:v>2</x:v>
      </x:c>
      <x:c r="P45" s="30" t="n">
        <x:v>3</x:v>
      </x:c>
      <x:c r="Q45" s="30" t="n">
        <x:v>1</x:v>
      </x:c>
      <x:c r="R45" s="30" t="n">
        <x:v>1</x:v>
      </x:c>
      <x:c r="S45" s="30" t="n">
        <x:v>3</x:v>
      </x:c>
      <x:c r="T45" s="30" t="n">
        <x:v>2</x:v>
      </x:c>
      <x:c r="U45" s="34" t="n">
        <x:f>AVERAGE(G45:T45)</x:f>
        <x:v>2.142857142857143</x:v>
      </x:c>
      <x:c r="V45" s="30" t="n">
        <x:f>COUNTIF(G45:T45,"&lt;=1")</x:f>
        <x:v>3</x:v>
      </x:c>
      <x:c r="W45" s="26" t="str">
        <x:v>Case tracking, response time, staffing and knowledge reuse</x:v>
      </x:c>
      <x:c r="X45" s="26" t="str">
        <x:v>High</x:v>
      </x:c>
      <x:c r="Y45" s="26" t="str">
        <x:v>Desk-review score; validate with developer and user evidence</x:v>
      </x:c>
    </x:row>
    <x:row r="46" ht="44" customHeight="1">
      <x:c r="A46" s="26" t="str">
        <x:v>D2-042</x:v>
      </x:c>
      <x:c r="B46" s="26" t="str">
        <x:v>Digital Farmers Program</x:v>
      </x:c>
      <x:c r="C46" s="26" t="str">
        <x:v>Government–private partnership</x:v>
      </x:c>
      <x:c r="D46" s="26" t="str">
        <x:v>Training, capacity &amp; innovation hubs</x:v>
      </x:c>
      <x:c r="E46" s="26" t="str">
        <x:v>Active / operational</x:v>
      </x:c>
      <x:c r="F46" s="26" t="str">
        <x:v>High</x:v>
      </x:c>
      <x:c r="G46" s="30" t="n">
        <x:v>2</x:v>
      </x:c>
      <x:c r="H46" s="30" t="n">
        <x:v>2</x:v>
      </x:c>
      <x:c r="I46" s="30" t="n">
        <x:v>1</x:v>
      </x:c>
      <x:c r="J46" s="30" t="n">
        <x:v>1</x:v>
      </x:c>
      <x:c r="K46" s="30" t="n">
        <x:v>3</x:v>
      </x:c>
      <x:c r="L46" s="30" t="n">
        <x:v>3</x:v>
      </x:c>
      <x:c r="M46" s="30" t="n">
        <x:v>2</x:v>
      </x:c>
      <x:c r="N46" s="30" t="n">
        <x:v>2</x:v>
      </x:c>
      <x:c r="O46" s="30" t="n">
        <x:v>2</x:v>
      </x:c>
      <x:c r="P46" s="30" t="n">
        <x:v>2</x:v>
      </x:c>
      <x:c r="Q46" s="30" t="n">
        <x:v>1</x:v>
      </x:c>
      <x:c r="R46" s="30" t="n">
        <x:v>2</x:v>
      </x:c>
      <x:c r="S46" s="30" t="n">
        <x:v>2</x:v>
      </x:c>
      <x:c r="T46" s="30" t="n">
        <x:v>2</x:v>
      </x:c>
      <x:c r="U46" s="34" t="n">
        <x:f>AVERAGE(G46:T46)</x:f>
        <x:v>1.9285714285714286</x:v>
      </x:c>
      <x:c r="V46" s="30" t="n">
        <x:f>COUNTIF(G46:T46,"&lt;=1")</x:f>
        <x:v>3</x:v>
      </x:c>
      <x:c r="W46" s="26" t="str">
        <x:v>Coverage, post-training support, sustained use, device and connectivity gaps</x:v>
      </x:c>
      <x:c r="X46" s="26" t="str">
        <x:v>High</x:v>
      </x:c>
      <x:c r="Y46" s="26" t="str">
        <x:v>Desk-review score; validate with developer and user evidence</x:v>
      </x:c>
    </x:row>
    <x:row r="47" ht="44" customHeight="1">
      <x:c r="A47" s="26" t="str">
        <x:v>D2-043</x:v>
      </x:c>
      <x:c r="B47" s="26" t="str">
        <x:v>FarmSmart</x:v>
      </x:c>
      <x:c r="C47" s="26" t="str">
        <x:v>Private / partnership</x:v>
      </x:c>
      <x:c r="D47" s="26" t="str">
        <x:v>Farm management &amp; decision support</x:v>
      </x:c>
      <x:c r="E47" s="26" t="str">
        <x:v>Status unverified</x:v>
      </x:c>
      <x:c r="F47" s="26" t="str">
        <x:v>Low</x:v>
      </x:c>
      <x:c r="G47" s="30" t="n">
        <x:v>1</x:v>
      </x:c>
      <x:c r="H47" s="30" t="n">
        <x:v>0</x:v>
      </x:c>
      <x:c r="I47" s="30" t="n">
        <x:v>1</x:v>
      </x:c>
      <x:c r="J47" s="30" t="n">
        <x:v>1</x:v>
      </x:c>
      <x:c r="K47" s="30" t="n">
        <x:v>1</x:v>
      </x:c>
      <x:c r="L47" s="30" t="n">
        <x:v>1</x:v>
      </x:c>
      <x:c r="M47" s="30" t="n">
        <x:v>1</x:v>
      </x:c>
      <x:c r="N47" s="30" t="n">
        <x:v>1</x:v>
      </x:c>
      <x:c r="O47" s="30" t="n">
        <x:v>1</x:v>
      </x:c>
      <x:c r="P47" s="30" t="n">
        <x:v>1</x:v>
      </x:c>
      <x:c r="Q47" s="30" t="n">
        <x:v>1</x:v>
      </x:c>
      <x:c r="R47" s="30" t="n">
        <x:v>1</x:v>
      </x:c>
      <x:c r="S47" s="30" t="n">
        <x:v>1</x:v>
      </x:c>
      <x:c r="T47" s="30" t="n">
        <x:v>1</x:v>
      </x:c>
      <x:c r="U47" s="34" t="n">
        <x:f>AVERAGE(G47:T47)</x:f>
        <x:v>0.9285714285714286</x:v>
      </x:c>
      <x:c r="V47" s="30" t="n">
        <x:f>COUNTIF(G47:T47,"&lt;=1")</x:f>
        <x:v>14</x:v>
      </x:c>
      <x:c r="W47" s="26" t="str">
        <x:v>Current status, customer base, differentiation and outcome evidence</x:v>
      </x:c>
      <x:c r="X47" s="26" t="str">
        <x:v>Low</x:v>
      </x:c>
      <x:c r="Y47" s="26" t="str">
        <x:v>Desk-review score; validate with developer and user evidence</x:v>
      </x:c>
    </x:row>
    <x:row r="48" ht="44" customHeight="1">
      <x:c r="A48" s="26" t="str">
        <x:v>D2-044</x:v>
      </x:c>
      <x:c r="B48" s="26" t="str">
        <x:v>Fresh Depot / CropIn-enabled Farmer Support</x:v>
      </x:c>
      <x:c r="C48" s="26" t="str">
        <x:v>Private / foundation partnership</x:v>
      </x:c>
      <x:c r="D48" s="26" t="str">
        <x:v>Farm management &amp; decision support</x:v>
      </x:c>
      <x:c r="E48" s="26" t="str">
        <x:v>Status unverified</x:v>
      </x:c>
      <x:c r="F48" s="26" t="str">
        <x:v>Medium</x:v>
      </x:c>
      <x:c r="G48" s="30" t="n">
        <x:v>1</x:v>
      </x:c>
      <x:c r="H48" s="30" t="n">
        <x:v>0</x:v>
      </x:c>
      <x:c r="I48" s="30" t="n">
        <x:v>1</x:v>
      </x:c>
      <x:c r="J48" s="30" t="n">
        <x:v>1</x:v>
      </x:c>
      <x:c r="K48" s="30" t="n">
        <x:v>1</x:v>
      </x:c>
      <x:c r="L48" s="30" t="n">
        <x:v>3</x:v>
      </x:c>
      <x:c r="M48" s="30" t="n">
        <x:v>1</x:v>
      </x:c>
      <x:c r="N48" s="30" t="n">
        <x:v>2</x:v>
      </x:c>
      <x:c r="O48" s="30" t="n">
        <x:v>2</x:v>
      </x:c>
      <x:c r="P48" s="30" t="n">
        <x:v>1</x:v>
      </x:c>
      <x:c r="Q48" s="30" t="n">
        <x:v>1</x:v>
      </x:c>
      <x:c r="R48" s="30" t="n">
        <x:v>1</x:v>
      </x:c>
      <x:c r="S48" s="30" t="n">
        <x:v>1</x:v>
      </x:c>
      <x:c r="T48" s="30" t="n">
        <x:v>3</x:v>
      </x:c>
      <x:c r="U48" s="34" t="n">
        <x:f>AVERAGE(G48:T48)</x:f>
        <x:v>1.3571428571428572</x:v>
      </x:c>
      <x:c r="V48" s="30" t="n">
        <x:f>COUNTIF(G48:T48,"&lt;=1")</x:f>
        <x:v>10</x:v>
      </x:c>
      <x:c r="W48" s="26" t="str">
        <x:v>Post-project continuity, licensing, data ownership and replicability</x:v>
      </x:c>
      <x:c r="X48" s="26" t="str">
        <x:v>Medium</x:v>
      </x:c>
      <x:c r="Y48" s="26" t="str">
        <x:v>Desk-review score; validate with developer and user evidence</x:v>
      </x:c>
    </x:row>
    <x:row r="49" ht="44" customHeight="1">
      <x:c r="A49" s="26" t="str">
        <x:v>D2-045</x:v>
      </x:c>
      <x:c r="B49" s="26" t="str">
        <x:v>Gul.AI Plant Phenotyping Platform</x:v>
      </x:c>
      <x:c r="C49" s="26" t="str">
        <x:v>National research institute</x:v>
      </x:c>
      <x:c r="D49" s="26" t="str">
        <x:v>Precision agriculture, EO, drones &amp; IoT</x:v>
      </x:c>
      <x:c r="E49" s="26" t="str">
        <x:v>Pilot / prototype</x:v>
      </x:c>
      <x:c r="F49" s="26" t="str">
        <x:v>High</x:v>
      </x:c>
      <x:c r="G49" s="30" t="n">
        <x:v>1</x:v>
      </x:c>
      <x:c r="H49" s="30" t="n">
        <x:v>1</x:v>
      </x:c>
      <x:c r="I49" s="30" t="n">
        <x:v>1</x:v>
      </x:c>
      <x:c r="J49" s="30" t="n">
        <x:v>1</x:v>
      </x:c>
      <x:c r="K49" s="30" t="n">
        <x:v>1</x:v>
      </x:c>
      <x:c r="L49" s="30" t="n">
        <x:v>2</x:v>
      </x:c>
      <x:c r="M49" s="30" t="n">
        <x:v>1</x:v>
      </x:c>
      <x:c r="N49" s="30" t="n">
        <x:v>2</x:v>
      </x:c>
      <x:c r="O49" s="30" t="n">
        <x:v>2</x:v>
      </x:c>
      <x:c r="P49" s="30" t="n">
        <x:v>1</x:v>
      </x:c>
      <x:c r="Q49" s="30" t="n">
        <x:v>1</x:v>
      </x:c>
      <x:c r="R49" s="30" t="n">
        <x:v>2</x:v>
      </x:c>
      <x:c r="S49" s="30" t="n">
        <x:v>1</x:v>
      </x:c>
      <x:c r="T49" s="30" t="n">
        <x:v>2</x:v>
      </x:c>
      <x:c r="U49" s="34" t="n">
        <x:f>AVERAGE(G49:T49)</x:f>
        <x:v>1.3571428571428572</x:v>
      </x:c>
      <x:c r="V49" s="30" t="n">
        <x:f>COUNTIF(G49:T49,"&lt;=1")</x:f>
        <x:v>9</x:v>
      </x:c>
      <x:c r="W49" s="26" t="str">
        <x:v>Hardware maintenance, calibration, unit cost and scale beyond laboratories</x:v>
      </x:c>
      <x:c r="X49" s="26" t="str">
        <x:v>Medium</x:v>
      </x:c>
      <x:c r="Y49" s="26" t="str">
        <x:v>Desk-review score; validate with developer and user evidence</x:v>
      </x:c>
    </x:row>
    <x:row r="50" ht="44" customHeight="1">
      <x:c r="A50" s="26" t="str">
        <x:v>D2-046</x:v>
      </x:c>
      <x:c r="B50" s="26" t="str">
        <x:v>arQ / PhilSensors Remote Data Acquisition Platform</x:v>
      </x:c>
      <x:c r="C50" s="26" t="str">
        <x:v>National research institute</x:v>
      </x:c>
      <x:c r="D50" s="26" t="str">
        <x:v>Precision agriculture, EO, drones &amp; IoT</x:v>
      </x:c>
      <x:c r="E50" s="26" t="str">
        <x:v>Active / operational R&amp;D platform</x:v>
      </x:c>
      <x:c r="F50" s="26" t="str">
        <x:v>High</x:v>
      </x:c>
      <x:c r="G50" s="30" t="n">
        <x:v>1</x:v>
      </x:c>
      <x:c r="H50" s="30" t="n">
        <x:v>2</x:v>
      </x:c>
      <x:c r="I50" s="30" t="n">
        <x:v>1</x:v>
      </x:c>
      <x:c r="J50" s="30" t="n">
        <x:v>1</x:v>
      </x:c>
      <x:c r="K50" s="30" t="n">
        <x:v>1</x:v>
      </x:c>
      <x:c r="L50" s="30" t="n">
        <x:v>2</x:v>
      </x:c>
      <x:c r="M50" s="30" t="n">
        <x:v>1</x:v>
      </x:c>
      <x:c r="N50" s="30" t="n">
        <x:v>2</x:v>
      </x:c>
      <x:c r="O50" s="30" t="n">
        <x:v>2</x:v>
      </x:c>
      <x:c r="P50" s="30" t="n">
        <x:v>1</x:v>
      </x:c>
      <x:c r="Q50" s="30" t="n">
        <x:v>2</x:v>
      </x:c>
      <x:c r="R50" s="30" t="n">
        <x:v>1</x:v>
      </x:c>
      <x:c r="S50" s="30" t="n">
        <x:v>2</x:v>
      </x:c>
      <x:c r="T50" s="30" t="n">
        <x:v>2</x:v>
      </x:c>
      <x:c r="U50" s="34" t="n">
        <x:f>AVERAGE(G50:T50)</x:f>
        <x:v>1.5</x:v>
      </x:c>
      <x:c r="V50" s="30" t="n">
        <x:f>COUNTIF(G50:T50,"&lt;=1")</x:f>
        <x:v>7</x:v>
      </x:c>
      <x:c r="W50" s="26" t="str">
        <x:v>Commercial support, calibration, ruggedization, power and maintenance</x:v>
      </x:c>
      <x:c r="X50" s="26" t="str">
        <x:v>High</x:v>
      </x:c>
      <x:c r="Y50" s="26" t="str">
        <x:v>Desk-review score; validate with developer and user evidence</x:v>
      </x:c>
    </x:row>
    <x:row r="51" ht="44" customHeight="1">
      <x:c r="A51" s="26" t="str">
        <x:v>D2-047</x:v>
      </x:c>
      <x:c r="B51" s="26" t="str">
        <x:v>Smart Aquafarm Feeder and Monitoring System in Highly Turbid Conditions</x:v>
      </x:c>
      <x:c r="C51" s="26" t="str">
        <x:v>National research institute / industry partnership</x:v>
      </x:c>
      <x:c r="D51" s="26" t="str">
        <x:v>Fisheries &amp; aquaculture</x:v>
      </x:c>
      <x:c r="E51" s="26" t="str">
        <x:v>Project ongoing</x:v>
      </x:c>
      <x:c r="F51" s="26" t="str">
        <x:v>High</x:v>
      </x:c>
      <x:c r="G51" s="30" t="n">
        <x:v>1</x:v>
      </x:c>
      <x:c r="H51" s="30" t="n">
        <x:v>1</x:v>
      </x:c>
      <x:c r="I51" s="30" t="n">
        <x:v>1</x:v>
      </x:c>
      <x:c r="J51" s="30" t="n">
        <x:v>1</x:v>
      </x:c>
      <x:c r="K51" s="30" t="n">
        <x:v>1</x:v>
      </x:c>
      <x:c r="L51" s="30" t="n">
        <x:v>3</x:v>
      </x:c>
      <x:c r="M51" s="30" t="n">
        <x:v>2</x:v>
      </x:c>
      <x:c r="N51" s="30" t="n">
        <x:v>2</x:v>
      </x:c>
      <x:c r="O51" s="30" t="n">
        <x:v>2</x:v>
      </x:c>
      <x:c r="P51" s="30" t="n">
        <x:v>1</x:v>
      </x:c>
      <x:c r="Q51" s="30" t="n">
        <x:v>2</x:v>
      </x:c>
      <x:c r="R51" s="30" t="n">
        <x:v>2</x:v>
      </x:c>
      <x:c r="S51" s="30" t="n">
        <x:v>1</x:v>
      </x:c>
      <x:c r="T51" s="30" t="n">
        <x:v>2</x:v>
      </x:c>
      <x:c r="U51" s="34" t="n">
        <x:f>AVERAGE(G51:T51)</x:f>
        <x:v>1.5714285714285714</x:v>
      </x:c>
      <x:c r="V51" s="30" t="n">
        <x:f>COUNTIF(G51:T51,"&lt;=1")</x:f>
        <x:v>7</x:v>
      </x:c>
      <x:c r="W51" s="26" t="str">
        <x:v>Reliability, fouling, cost, species transferability and maintenance</x:v>
      </x:c>
      <x:c r="X51" s="26" t="str">
        <x:v>Medium</x:v>
      </x:c>
      <x:c r="Y51" s="26" t="str">
        <x:v>Desk-review score; validate with developer and user evidence</x:v>
      </x:c>
    </x:row>
    <x:row r="52" ht="44" customHeight="1">
      <x:c r="A52" s="26" t="str">
        <x:v>D2-048</x:v>
      </x:c>
      <x:c r="B52" s="26" t="str">
        <x:v>Aquaculture Wireless Ammonia Sensor Network for IoT Application</x:v>
      </x:c>
      <x:c r="C52" s="26" t="str">
        <x:v>National research institute / partnership</x:v>
      </x:c>
      <x:c r="D52" s="26" t="str">
        <x:v>Fisheries &amp; aquaculture</x:v>
      </x:c>
      <x:c r="E52" s="26" t="str">
        <x:v>Project ongoing</x:v>
      </x:c>
      <x:c r="F52" s="26" t="str">
        <x:v>High</x:v>
      </x:c>
      <x:c r="G52" s="30" t="n">
        <x:v>1</x:v>
      </x:c>
      <x:c r="H52" s="30" t="n">
        <x:v>1</x:v>
      </x:c>
      <x:c r="I52" s="30" t="n">
        <x:v>1</x:v>
      </x:c>
      <x:c r="J52" s="30" t="n">
        <x:v>1</x:v>
      </x:c>
      <x:c r="K52" s="30" t="n">
        <x:v>1</x:v>
      </x:c>
      <x:c r="L52" s="30" t="n">
        <x:v>3</x:v>
      </x:c>
      <x:c r="M52" s="30" t="n">
        <x:v>2</x:v>
      </x:c>
      <x:c r="N52" s="30" t="n">
        <x:v>2</x:v>
      </x:c>
      <x:c r="O52" s="30" t="n">
        <x:v>2</x:v>
      </x:c>
      <x:c r="P52" s="30" t="n">
        <x:v>1</x:v>
      </x:c>
      <x:c r="Q52" s="30" t="n">
        <x:v>1</x:v>
      </x:c>
      <x:c r="R52" s="30" t="n">
        <x:v>1</x:v>
      </x:c>
      <x:c r="S52" s="30" t="n">
        <x:v>1</x:v>
      </x:c>
      <x:c r="T52" s="30" t="n">
        <x:v>2</x:v>
      </x:c>
      <x:c r="U52" s="34" t="n">
        <x:f>AVERAGE(G52:T52)</x:f>
        <x:v>1.4285714285714286</x:v>
      </x:c>
      <x:c r="V52" s="30" t="n">
        <x:f>COUNTIF(G52:T52,"&lt;=1")</x:f>
        <x:v>9</x:v>
      </x:c>
      <x:c r="W52" s="26" t="str">
        <x:v>Calibration, fouling, durability, connectivity, cost and alert actions</x:v>
      </x:c>
      <x:c r="X52" s="26" t="str">
        <x:v>High</x:v>
      </x:c>
      <x:c r="Y52" s="26" t="str">
        <x:v>Desk-review score; validate with developer and user evidence</x:v>
      </x:c>
    </x:row>
    <x:row r="53" ht="44" customHeight="1">
      <x:c r="A53" s="26" t="str">
        <x:v>D2-049</x:v>
      </x:c>
      <x:c r="B53" s="26" t="str">
        <x:v>Smart Water Irrigation for Rice Farming through IoT</x:v>
      </x:c>
      <x:c r="C53" s="26" t="str">
        <x:v>SUC / research team</x:v>
      </x:c>
      <x:c r="D53" s="26" t="str">
        <x:v>Precision agriculture, EO, drones &amp; IoT</x:v>
      </x:c>
      <x:c r="E53" s="26" t="str">
        <x:v>Pilot / prototype</x:v>
      </x:c>
      <x:c r="F53" s="26" t="str">
        <x:v>Medium</x:v>
      </x:c>
      <x:c r="G53" s="30" t="n">
        <x:v>1</x:v>
      </x:c>
      <x:c r="H53" s="30" t="n">
        <x:v>1</x:v>
      </x:c>
      <x:c r="I53" s="30" t="n">
        <x:v>1</x:v>
      </x:c>
      <x:c r="J53" s="30" t="n">
        <x:v>1</x:v>
      </x:c>
      <x:c r="K53" s="30" t="n">
        <x:v>1</x:v>
      </x:c>
      <x:c r="L53" s="30" t="n">
        <x:v>2</x:v>
      </x:c>
      <x:c r="M53" s="30" t="n">
        <x:v>1</x:v>
      </x:c>
      <x:c r="N53" s="30" t="n">
        <x:v>2</x:v>
      </x:c>
      <x:c r="O53" s="30" t="n">
        <x:v>2</x:v>
      </x:c>
      <x:c r="P53" s="30" t="n">
        <x:v>1</x:v>
      </x:c>
      <x:c r="Q53" s="30" t="n">
        <x:v>1</x:v>
      </x:c>
      <x:c r="R53" s="30" t="n">
        <x:v>2</x:v>
      </x:c>
      <x:c r="S53" s="30" t="n">
        <x:v>1</x:v>
      </x:c>
      <x:c r="T53" s="30" t="n">
        <x:v>2</x:v>
      </x:c>
      <x:c r="U53" s="34" t="n">
        <x:f>AVERAGE(G53:T53)</x:f>
        <x:v>1.3571428571428572</x:v>
      </x:c>
      <x:c r="V53" s="30" t="n">
        <x:f>COUNTIF(G53:T53,"&lt;=1")</x:f>
        <x:v>9</x:v>
      </x:c>
      <x:c r="W53" s="26" t="str">
        <x:v>Small validation scale, hardware reliability, connectivity, safety and service model</x:v>
      </x:c>
      <x:c r="X53" s="26" t="str">
        <x:v>Medium</x:v>
      </x:c>
      <x:c r="Y53" s="26" t="str">
        <x:v>Desk-review score; validate with developer and user evidence</x:v>
      </x:c>
    </x:row>
    <x:row r="54" ht="44" customHeight="1">
      <x:c r="A54" s="26" t="str">
        <x:v>D2-050</x:v>
      </x:c>
      <x:c r="B54" s="26" t="str">
        <x:v>FASTRAC Banana Drone Mapping and Field Analytics</x:v>
      </x:c>
      <x:c r="C54" s="26" t="str">
        <x:v>National research institute / industry partnership</x:v>
      </x:c>
      <x:c r="D54" s="26" t="str">
        <x:v>Precision agriculture, EO, drones &amp; IoT</x:v>
      </x:c>
      <x:c r="E54" s="26" t="str">
        <x:v>Project ongoing</x:v>
      </x:c>
      <x:c r="F54" s="26" t="str">
        <x:v>High</x:v>
      </x:c>
      <x:c r="G54" s="30" t="n">
        <x:v>1</x:v>
      </x:c>
      <x:c r="H54" s="30" t="n">
        <x:v>1</x:v>
      </x:c>
      <x:c r="I54" s="30" t="n">
        <x:v>1</x:v>
      </x:c>
      <x:c r="J54" s="30" t="n">
        <x:v>1</x:v>
      </x:c>
      <x:c r="K54" s="30" t="n">
        <x:v>1</x:v>
      </x:c>
      <x:c r="L54" s="30" t="n">
        <x:v>3</x:v>
      </x:c>
      <x:c r="M54" s="30" t="n">
        <x:v>2</x:v>
      </x:c>
      <x:c r="N54" s="30" t="n">
        <x:v>2</x:v>
      </x:c>
      <x:c r="O54" s="30" t="n">
        <x:v>2</x:v>
      </x:c>
      <x:c r="P54" s="30" t="n">
        <x:v>1</x:v>
      </x:c>
      <x:c r="Q54" s="30" t="n">
        <x:v>1</x:v>
      </x:c>
      <x:c r="R54" s="30" t="n">
        <x:v>2</x:v>
      </x:c>
      <x:c r="S54" s="30" t="n">
        <x:v>1</x:v>
      </x:c>
      <x:c r="T54" s="30" t="n">
        <x:v>2</x:v>
      </x:c>
      <x:c r="U54" s="34" t="n">
        <x:f>AVERAGE(G54:T54)</x:f>
        <x:v>1.5</x:v>
      </x:c>
      <x:c r="V54" s="30" t="n">
        <x:f>COUNTIF(G54:T54,"&lt;=1")</x:f>
        <x:v>8</x:v>
      </x:c>
      <x:c r="W54" s="26" t="str">
        <x:v>Model transferability, ground data, imagery cost, workflow and business model</x:v>
      </x:c>
      <x:c r="X54" s="26" t="str">
        <x:v>High</x:v>
      </x:c>
      <x:c r="Y54" s="26" t="str">
        <x:v>Desk-review score; validate with developer and user evidence</x:v>
      </x:c>
    </x:row>
    <x:row r="55" ht="44" customHeight="1">
      <x:c r="A55" s="26" t="str">
        <x:v>D2-051</x:v>
      </x:c>
      <x:c r="B55" s="26" t="str">
        <x:v>AgriDOM Digital Agriculture and Drone Services Platform</x:v>
      </x:c>
      <x:c r="C55" s="26" t="str">
        <x:v>Private company</x:v>
      </x:c>
      <x:c r="D55" s="26" t="str">
        <x:v>Mechanization &amp; equipment-as-a-service</x:v>
      </x:c>
      <x:c r="E55" s="26" t="str">
        <x:v>Active / operational</x:v>
      </x:c>
      <x:c r="F55" s="26" t="str">
        <x:v>High</x:v>
      </x:c>
      <x:c r="G55" s="30" t="n">
        <x:v>2</x:v>
      </x:c>
      <x:c r="H55" s="30" t="n">
        <x:v>2</x:v>
      </x:c>
      <x:c r="I55" s="30" t="n">
        <x:v>2</x:v>
      </x:c>
      <x:c r="J55" s="30" t="n">
        <x:v>2</x:v>
      </x:c>
      <x:c r="K55" s="30" t="n">
        <x:v>1</x:v>
      </x:c>
      <x:c r="L55" s="30" t="n">
        <x:v>1</x:v>
      </x:c>
      <x:c r="M55" s="30" t="n">
        <x:v>2</x:v>
      </x:c>
      <x:c r="N55" s="30" t="n">
        <x:v>2</x:v>
      </x:c>
      <x:c r="O55" s="30" t="n">
        <x:v>3</x:v>
      </x:c>
      <x:c r="P55" s="30" t="n">
        <x:v>1</x:v>
      </x:c>
      <x:c r="Q55" s="30" t="n">
        <x:v>1</x:v>
      </x:c>
      <x:c r="R55" s="30" t="n">
        <x:v>2</x:v>
      </x:c>
      <x:c r="S55" s="30" t="n">
        <x:v>2</x:v>
      </x:c>
      <x:c r="T55" s="30" t="n">
        <x:v>2</x:v>
      </x:c>
      <x:c r="U55" s="34" t="n">
        <x:f>AVERAGE(G55:T55)</x:f>
        <x:v>1.7857142857142858</x:v>
      </x:c>
      <x:c r="V55" s="30" t="n">
        <x:f>COUNTIF(G55:T55,"&lt;=1")</x:f>
        <x:v>4</x:v>
      </x:c>
      <x:c r="W55" s="26" t="str">
        <x:v>Unit economics, demand aggregation, regulation, safety and independent evidence</x:v>
      </x:c>
      <x:c r="X55" s="26" t="str">
        <x:v>High</x:v>
      </x:c>
      <x:c r="Y55" s="26" t="str">
        <x:v>Desk-review score; validate with developer and user evidence</x:v>
      </x:c>
    </x:row>
    <x:row r="56" ht="44" customHeight="1">
      <x:c r="A56" s="26" t="str">
        <x:v>D2-052</x:v>
      </x:c>
      <x:c r="B56" s="26" t="str">
        <x:v>Del Monte Philippines Drone Mapping Platforms</x:v>
      </x:c>
      <x:c r="C56" s="26" t="str">
        <x:v>Private agribusiness</x:v>
      </x:c>
      <x:c r="D56" s="26" t="str">
        <x:v>Precision agriculture, EO, drones &amp; IoT</x:v>
      </x:c>
      <x:c r="E56" s="26" t="str">
        <x:v>Active / operational</x:v>
      </x:c>
      <x:c r="F56" s="26" t="str">
        <x:v>Medium</x:v>
      </x:c>
      <x:c r="G56" s="30" t="n">
        <x:v>2</x:v>
      </x:c>
      <x:c r="H56" s="30" t="n">
        <x:v>2</x:v>
      </x:c>
      <x:c r="I56" s="30" t="n">
        <x:v>2</x:v>
      </x:c>
      <x:c r="J56" s="30" t="n">
        <x:v>2</x:v>
      </x:c>
      <x:c r="K56" s="30" t="n">
        <x:v>1</x:v>
      </x:c>
      <x:c r="L56" s="30" t="n">
        <x:v>1</x:v>
      </x:c>
      <x:c r="M56" s="30" t="n">
        <x:v>1</x:v>
      </x:c>
      <x:c r="N56" s="30" t="n">
        <x:v>2</x:v>
      </x:c>
      <x:c r="O56" s="30" t="n">
        <x:v>2</x:v>
      </x:c>
      <x:c r="P56" s="30" t="n">
        <x:v>1</x:v>
      </x:c>
      <x:c r="Q56" s="30" t="n">
        <x:v>1</x:v>
      </x:c>
      <x:c r="R56" s="30" t="n">
        <x:v>2</x:v>
      </x:c>
      <x:c r="S56" s="30" t="n">
        <x:v>2</x:v>
      </x:c>
      <x:c r="T56" s="30" t="n">
        <x:v>2</x:v>
      </x:c>
      <x:c r="U56" s="34" t="n">
        <x:f>AVERAGE(G56:T56)</x:f>
        <x:v>1.6428571428571428</x:v>
      </x:c>
      <x:c r="V56" s="30" t="n">
        <x:f>COUNTIF(G56:T56,"&lt;=1")</x:f>
        <x:v>5</x:v>
      </x:c>
      <x:c r="W56" s="26" t="str">
        <x:v>Proprietary data, limited public evidence and smallholder transferability</x:v>
      </x:c>
      <x:c r="X56" s="26" t="str">
        <x:v>Low</x:v>
      </x:c>
      <x:c r="Y56" s="26" t="str">
        <x:v>Desk-review score; validate with developer and user evidence</x:v>
      </x:c>
    </x:row>
    <x:row r="57" ht="44" customHeight="1">
      <x:c r="A57" s="26" t="str">
        <x:v>D2-053</x:v>
      </x:c>
      <x:c r="B57" s="26" t="str">
        <x:v>Solar-Powered Indoor Growing System for Localized Agriculture</x:v>
      </x:c>
      <x:c r="C57" s="26" t="str">
        <x:v>State university / research partnership</x:v>
      </x:c>
      <x:c r="D57" s="26" t="str">
        <x:v>Precision agriculture, EO, drones &amp; IoT</x:v>
      </x:c>
      <x:c r="E57" s="26" t="str">
        <x:v>Pilot / prototype</x:v>
      </x:c>
      <x:c r="F57" s="26" t="str">
        <x:v>Medium</x:v>
      </x:c>
      <x:c r="G57" s="30" t="n">
        <x:v>1</x:v>
      </x:c>
      <x:c r="H57" s="30" t="n">
        <x:v>1</x:v>
      </x:c>
      <x:c r="I57" s="30" t="n">
        <x:v>1</x:v>
      </x:c>
      <x:c r="J57" s="30" t="n">
        <x:v>1</x:v>
      </x:c>
      <x:c r="K57" s="30" t="n">
        <x:v>1</x:v>
      </x:c>
      <x:c r="L57" s="30" t="n">
        <x:v>3</x:v>
      </x:c>
      <x:c r="M57" s="30" t="n">
        <x:v>1</x:v>
      </x:c>
      <x:c r="N57" s="30" t="n">
        <x:v>2</x:v>
      </x:c>
      <x:c r="O57" s="30" t="n">
        <x:v>2</x:v>
      </x:c>
      <x:c r="P57" s="30" t="n">
        <x:v>1</x:v>
      </x:c>
      <x:c r="Q57" s="30" t="n">
        <x:v>1</x:v>
      </x:c>
      <x:c r="R57" s="30" t="n">
        <x:v>2</x:v>
      </x:c>
      <x:c r="S57" s="30" t="n">
        <x:v>1</x:v>
      </x:c>
      <x:c r="T57" s="30" t="n">
        <x:v>2</x:v>
      </x:c>
      <x:c r="U57" s="34" t="n">
        <x:f>AVERAGE(G57:T57)</x:f>
        <x:v>1.4285714285714286</x:v>
      </x:c>
      <x:c r="V57" s="30" t="n">
        <x:f>COUNTIF(G57:T57,"&lt;=1")</x:f>
        <x:v>9</x:v>
      </x:c>
      <x:c r="W57" s="26" t="str">
        <x:v>Capital cost, energy balance, crop economics, maintenance and market fit</x:v>
      </x:c>
      <x:c r="X57" s="26" t="str">
        <x:v>Low</x:v>
      </x:c>
      <x:c r="Y57" s="26" t="str">
        <x:v>Desk-review score; validate with developer and user evidence</x:v>
      </x:c>
    </x:row>
    <x:row r="58" ht="44" customHeight="1">
      <x:c r="A58" s="26" t="str">
        <x:v>D2-054</x:v>
      </x:c>
      <x:c r="B58" s="26" t="str">
        <x:v>Municipal Fisherfolk Registration System</x:v>
      </x:c>
      <x:c r="C58" s="26" t="str">
        <x:v>National government</x:v>
      </x:c>
      <x:c r="D58" s="26" t="str">
        <x:v>Registry &amp; digital identity</x:v>
      </x:c>
      <x:c r="E58" s="26" t="str">
        <x:v>Active / operational</x:v>
      </x:c>
      <x:c r="F58" s="26" t="str">
        <x:v>High</x:v>
      </x:c>
      <x:c r="G58" s="30" t="n">
        <x:v>3</x:v>
      </x:c>
      <x:c r="H58" s="30" t="n">
        <x:v>2</x:v>
      </x:c>
      <x:c r="I58" s="30" t="n">
        <x:v>2</x:v>
      </x:c>
      <x:c r="J58" s="30" t="n">
        <x:v>2</x:v>
      </x:c>
      <x:c r="K58" s="30" t="n">
        <x:v>1</x:v>
      </x:c>
      <x:c r="L58" s="30" t="n">
        <x:v>2</x:v>
      </x:c>
      <x:c r="M58" s="30" t="n">
        <x:v>2</x:v>
      </x:c>
      <x:c r="N58" s="30" t="n">
        <x:v>3</x:v>
      </x:c>
      <x:c r="O58" s="30" t="n">
        <x:v>2</x:v>
      </x:c>
      <x:c r="P58" s="30" t="n">
        <x:v>3</x:v>
      </x:c>
      <x:c r="Q58" s="30" t="n">
        <x:v>1</x:v>
      </x:c>
      <x:c r="R58" s="30" t="n">
        <x:v>2</x:v>
      </x:c>
      <x:c r="S58" s="30" t="n">
        <x:v>3</x:v>
      </x:c>
      <x:c r="T58" s="30" t="n">
        <x:v>2</x:v>
      </x:c>
      <x:c r="U58" s="34" t="n">
        <x:f>AVERAGE(G58:T58)</x:f>
        <x:v>2.142857142857143</x:v>
      </x:c>
      <x:c r="V58" s="30" t="n">
        <x:f>COUNTIF(G58:T58,"&lt;=1")</x:f>
        <x:v>2</x:v>
      </x:c>
      <x:c r="W58" s="26" t="str">
        <x:v>Updating, duplicate records, local capacity and alignment with RSBSA</x:v>
      </x:c>
      <x:c r="X58" s="26" t="str">
        <x:v>High</x:v>
      </x:c>
      <x:c r="Y58" s="26" t="str">
        <x:v>Desk-review score; validate with developer and user evidence</x:v>
      </x:c>
    </x:row>
    <x:row r="59" ht="44" customHeight="1">
      <x:c r="A59" s="26" t="str">
        <x:v>D2-055</x:v>
      </x:c>
      <x:c r="B59" s="26" t="str">
        <x:v>National Program for Municipal Fishing Boats and Gears Registration</x:v>
      </x:c>
      <x:c r="C59" s="26" t="str">
        <x:v>National government</x:v>
      </x:c>
      <x:c r="D59" s="26" t="str">
        <x:v>Registry &amp; digital identity</x:v>
      </x:c>
      <x:c r="E59" s="26" t="str">
        <x:v>Active / operational</x:v>
      </x:c>
      <x:c r="F59" s="26" t="str">
        <x:v>High</x:v>
      </x:c>
      <x:c r="G59" s="30" t="n">
        <x:v>3</x:v>
      </x:c>
      <x:c r="H59" s="30" t="n">
        <x:v>2</x:v>
      </x:c>
      <x:c r="I59" s="30" t="n">
        <x:v>2</x:v>
      </x:c>
      <x:c r="J59" s="30" t="n">
        <x:v>2</x:v>
      </x:c>
      <x:c r="K59" s="30" t="n">
        <x:v>1</x:v>
      </x:c>
      <x:c r="L59" s="30" t="n">
        <x:v>2</x:v>
      </x:c>
      <x:c r="M59" s="30" t="n">
        <x:v>2</x:v>
      </x:c>
      <x:c r="N59" s="30" t="n">
        <x:v>3</x:v>
      </x:c>
      <x:c r="O59" s="30" t="n">
        <x:v>2</x:v>
      </x:c>
      <x:c r="P59" s="30" t="n">
        <x:v>3</x:v>
      </x:c>
      <x:c r="Q59" s="30" t="n">
        <x:v>1</x:v>
      </x:c>
      <x:c r="R59" s="30" t="n">
        <x:v>1</x:v>
      </x:c>
      <x:c r="S59" s="30" t="n">
        <x:v>3</x:v>
      </x:c>
      <x:c r="T59" s="30" t="n">
        <x:v>2</x:v>
      </x:c>
      <x:c r="U59" s="34" t="n">
        <x:f>AVERAGE(G59:T59)</x:f>
        <x:v>2.0714285714285716</x:v>
      </x:c>
      <x:c r="V59" s="30" t="n">
        <x:f>COUNTIF(G59:T59,"&lt;=1")</x:f>
        <x:v>3</x:v>
      </x:c>
      <x:c r="W59" s="26" t="str">
        <x:v>Completeness, ownership changes, duplication and compliance linkage</x:v>
      </x:c>
      <x:c r="X59" s="26" t="str">
        <x:v>High</x:v>
      </x:c>
      <x:c r="Y59" s="26" t="str">
        <x:v>Desk-review score; validate with developer and user evidence</x:v>
      </x:c>
    </x:row>
    <x:row r="60" ht="44" customHeight="1">
      <x:c r="A60" s="26" t="str">
        <x:v>D2-056</x:v>
      </x:c>
      <x:c r="B60" s="26" t="str">
        <x:v>Fishing Vessels e-Licensing System</x:v>
      </x:c>
      <x:c r="C60" s="26" t="str">
        <x:v>National government</x:v>
      </x:c>
      <x:c r="D60" s="26" t="str">
        <x:v>Traceability, food safety &amp; MRV</x:v>
      </x:c>
      <x:c r="E60" s="26" t="str">
        <x:v>Active / operational</x:v>
      </x:c>
      <x:c r="F60" s="26" t="str">
        <x:v>Medium</x:v>
      </x:c>
      <x:c r="G60" s="30" t="n">
        <x:v>3</x:v>
      </x:c>
      <x:c r="H60" s="30" t="n">
        <x:v>2</x:v>
      </x:c>
      <x:c r="I60" s="30" t="n">
        <x:v>2</x:v>
      </x:c>
      <x:c r="J60" s="30" t="n">
        <x:v>2</x:v>
      </x:c>
      <x:c r="K60" s="30" t="n">
        <x:v>1</x:v>
      </x:c>
      <x:c r="L60" s="30" t="n">
        <x:v>2</x:v>
      </x:c>
      <x:c r="M60" s="30" t="n">
        <x:v>1</x:v>
      </x:c>
      <x:c r="N60" s="30" t="n">
        <x:v>3</x:v>
      </x:c>
      <x:c r="O60" s="30" t="n">
        <x:v>3</x:v>
      </x:c>
      <x:c r="P60" s="30" t="n">
        <x:v>3</x:v>
      </x:c>
      <x:c r="Q60" s="30" t="n">
        <x:v>1</x:v>
      </x:c>
      <x:c r="R60" s="30" t="n">
        <x:v>2</x:v>
      </x:c>
      <x:c r="S60" s="30" t="n">
        <x:v>3</x:v>
      </x:c>
      <x:c r="T60" s="30" t="n">
        <x:v>2</x:v>
      </x:c>
      <x:c r="U60" s="34" t="n">
        <x:f>AVERAGE(G60:T60)</x:f>
        <x:v>2.142857142857143</x:v>
      </x:c>
      <x:c r="V60" s="30" t="n">
        <x:f>COUNTIF(G60:T60,"&lt;=1")</x:f>
        <x:v>3</x:v>
      </x:c>
      <x:c r="W60" s="26" t="str">
        <x:v>Data completeness and linkage with BoatR, VMS and reporting systems</x:v>
      </x:c>
      <x:c r="X60" s="26" t="str">
        <x:v>High</x:v>
      </x:c>
      <x:c r="Y60" s="26" t="str">
        <x:v>Desk-review score; validate with developer and user evidence</x:v>
      </x:c>
    </x:row>
    <x:row r="61" ht="44" customHeight="1">
      <x:c r="A61" s="26" t="str">
        <x:v>D2-057</x:v>
      </x:c>
      <x:c r="B61" s="26" t="str">
        <x:v>Vessel Monitoring Measures / Vessel Monitoring System</x:v>
      </x:c>
      <x:c r="C61" s="26" t="str">
        <x:v>National government</x:v>
      </x:c>
      <x:c r="D61" s="26" t="str">
        <x:v>Fisheries &amp; aquaculture</x:v>
      </x:c>
      <x:c r="E61" s="26" t="str">
        <x:v>Active / operational</x:v>
      </x:c>
      <x:c r="F61" s="26" t="str">
        <x:v>High</x:v>
      </x:c>
      <x:c r="G61" s="30" t="n">
        <x:v>3</x:v>
      </x:c>
      <x:c r="H61" s="30" t="n">
        <x:v>2</x:v>
      </x:c>
      <x:c r="I61" s="30" t="n">
        <x:v>2</x:v>
      </x:c>
      <x:c r="J61" s="30" t="n">
        <x:v>2</x:v>
      </x:c>
      <x:c r="K61" s="30" t="n">
        <x:v>1</x:v>
      </x:c>
      <x:c r="L61" s="30" t="n">
        <x:v>2</x:v>
      </x:c>
      <x:c r="M61" s="30" t="n">
        <x:v>1</x:v>
      </x:c>
      <x:c r="N61" s="30" t="n">
        <x:v>3</x:v>
      </x:c>
      <x:c r="O61" s="30" t="n">
        <x:v>2</x:v>
      </x:c>
      <x:c r="P61" s="30" t="n">
        <x:v>3</x:v>
      </x:c>
      <x:c r="Q61" s="30" t="n">
        <x:v>1</x:v>
      </x:c>
      <x:c r="R61" s="30" t="n">
        <x:v>2</x:v>
      </x:c>
      <x:c r="S61" s="30" t="n">
        <x:v>3</x:v>
      </x:c>
      <x:c r="T61" s="30" t="n">
        <x:v>2</x:v>
      </x:c>
      <x:c r="U61" s="34" t="n">
        <x:f>AVERAGE(G61:T61)</x:f>
        <x:v>2.0714285714285716</x:v>
      </x:c>
      <x:c r="V61" s="30" t="n">
        <x:f>COUNTIF(G61:T61,"&lt;=1")</x:f>
        <x:v>3</x:v>
      </x:c>
      <x:c r="W61" s="26" t="str">
        <x:v>Device cost, coverage, compliance, cybersecurity and enforcement trust</x:v>
      </x:c>
      <x:c r="X61" s="26" t="str">
        <x:v>High</x:v>
      </x:c>
      <x:c r="Y61" s="26" t="str">
        <x:v>Desk-review score; validate with developer and user evidence</x:v>
      </x:c>
    </x:row>
    <x:row r="62" ht="44" customHeight="1">
      <x:c r="A62" s="26" t="str">
        <x:v>D2-058</x:v>
      </x:c>
      <x:c r="B62" s="26" t="str">
        <x:v>Electronic Reporting System for Commercial Fishing Vessels</x:v>
      </x:c>
      <x:c r="C62" s="26" t="str">
        <x:v>National government</x:v>
      </x:c>
      <x:c r="D62" s="26" t="str">
        <x:v>Traceability, food safety &amp; MRV</x:v>
      </x:c>
      <x:c r="E62" s="26" t="str">
        <x:v>Active / operational</x:v>
      </x:c>
      <x:c r="F62" s="26" t="str">
        <x:v>High</x:v>
      </x:c>
      <x:c r="G62" s="30" t="n">
        <x:v>3</x:v>
      </x:c>
      <x:c r="H62" s="30" t="n">
        <x:v>2</x:v>
      </x:c>
      <x:c r="I62" s="30" t="n">
        <x:v>2</x:v>
      </x:c>
      <x:c r="J62" s="30" t="n">
        <x:v>2</x:v>
      </x:c>
      <x:c r="K62" s="30" t="n">
        <x:v>1</x:v>
      </x:c>
      <x:c r="L62" s="30" t="n">
        <x:v>2</x:v>
      </x:c>
      <x:c r="M62" s="30" t="n">
        <x:v>1</x:v>
      </x:c>
      <x:c r="N62" s="30" t="n">
        <x:v>3</x:v>
      </x:c>
      <x:c r="O62" s="30" t="n">
        <x:v>3</x:v>
      </x:c>
      <x:c r="P62" s="30" t="n">
        <x:v>3</x:v>
      </x:c>
      <x:c r="Q62" s="30" t="n">
        <x:v>1</x:v>
      </x:c>
      <x:c r="R62" s="30" t="n">
        <x:v>1</x:v>
      </x:c>
      <x:c r="S62" s="30" t="n">
        <x:v>3</x:v>
      </x:c>
      <x:c r="T62" s="30" t="n">
        <x:v>2</x:v>
      </x:c>
      <x:c r="U62" s="34" t="n">
        <x:f>AVERAGE(G62:T62)</x:f>
        <x:v>2.0714285714285716</x:v>
      </x:c>
      <x:c r="V62" s="30" t="n">
        <x:f>COUNTIF(G62:T62,"&lt;=1")</x:f>
        <x:v>4</x:v>
      </x:c>
      <x:c r="W62" s="26" t="str">
        <x:v>Reporting burden, connectivity, validation and operator trust</x:v>
      </x:c>
      <x:c r="X62" s="26" t="str">
        <x:v>High</x:v>
      </x:c>
      <x:c r="Y62" s="26" t="str">
        <x:v>Desk-review score; validate with developer and user evidence</x:v>
      </x:c>
    </x:row>
    <x:row r="63" ht="44" customHeight="1">
      <x:c r="A63" s="26" t="str">
        <x:v>D2-059</x:v>
      </x:c>
      <x:c r="B63" s="26" t="str">
        <x:v>Electronic Catch Documentation and Traceability System</x:v>
      </x:c>
      <x:c r="C63" s="26" t="str">
        <x:v>National and local government</x:v>
      </x:c>
      <x:c r="D63" s="26" t="str">
        <x:v>Traceability, food safety &amp; MRV</x:v>
      </x:c>
      <x:c r="E63" s="26" t="str">
        <x:v>Pilot / partial deployment</x:v>
      </x:c>
      <x:c r="F63" s="26" t="str">
        <x:v>High</x:v>
      </x:c>
      <x:c r="G63" s="30" t="n">
        <x:v>1</x:v>
      </x:c>
      <x:c r="H63" s="30" t="n">
        <x:v>1</x:v>
      </x:c>
      <x:c r="I63" s="30" t="n">
        <x:v>1</x:v>
      </x:c>
      <x:c r="J63" s="30" t="n">
        <x:v>1</x:v>
      </x:c>
      <x:c r="K63" s="30" t="n">
        <x:v>1</x:v>
      </x:c>
      <x:c r="L63" s="30" t="n">
        <x:v>2</x:v>
      </x:c>
      <x:c r="M63" s="30" t="n">
        <x:v>1</x:v>
      </x:c>
      <x:c r="N63" s="30" t="n">
        <x:v>2</x:v>
      </x:c>
      <x:c r="O63" s="30" t="n">
        <x:v>3</x:v>
      </x:c>
      <x:c r="P63" s="30" t="n">
        <x:v>2</x:v>
      </x:c>
      <x:c r="Q63" s="30" t="n">
        <x:v>2</x:v>
      </x:c>
      <x:c r="R63" s="30" t="n">
        <x:v>1</x:v>
      </x:c>
      <x:c r="S63" s="30" t="n">
        <x:v>1</x:v>
      </x:c>
      <x:c r="T63" s="30" t="n">
        <x:v>2</x:v>
      </x:c>
      <x:c r="U63" s="34" t="n">
        <x:f>AVERAGE(G63:T63)</x:f>
        <x:v>1.5</x:v>
      </x:c>
      <x:c r="V63" s="30" t="n">
        <x:f>COUNTIF(G63:T63,"&lt;=1")</x:f>
        <x:v>8</x:v>
      </x:c>
      <x:c r="W63" s="26" t="str">
        <x:v>LGU capacity, interoperability, small-scale burden and incentives</x:v>
      </x:c>
      <x:c r="X63" s="26" t="str">
        <x:v>High</x:v>
      </x:c>
      <x:c r="Y63" s="26" t="str">
        <x:v>Desk-review score; validate with developer and user evidence</x:v>
      </x:c>
    </x:row>
    <x:row r="64" ht="44" customHeight="1">
      <x:c r="A64" s="26" t="str">
        <x:v>D2-060</x:v>
      </x:c>
      <x:c r="B64" s="26" t="str">
        <x:v>National Stock Assessment Program Information System</x:v>
      </x:c>
      <x:c r="C64" s="26" t="str">
        <x:v>National government</x:v>
      </x:c>
      <x:c r="D64" s="26" t="str">
        <x:v>Fisheries &amp; aquaculture</x:v>
      </x:c>
      <x:c r="E64" s="26" t="str">
        <x:v>Active / operational</x:v>
      </x:c>
      <x:c r="F64" s="26" t="str">
        <x:v>Medium</x:v>
      </x:c>
      <x:c r="G64" s="30" t="n">
        <x:v>3</x:v>
      </x:c>
      <x:c r="H64" s="30" t="n">
        <x:v>2</x:v>
      </x:c>
      <x:c r="I64" s="30" t="n">
        <x:v>2</x:v>
      </x:c>
      <x:c r="J64" s="30" t="n">
        <x:v>2</x:v>
      </x:c>
      <x:c r="K64" s="30" t="n">
        <x:v>1</x:v>
      </x:c>
      <x:c r="L64" s="30" t="n">
        <x:v>2</x:v>
      </x:c>
      <x:c r="M64" s="30" t="n">
        <x:v>1</x:v>
      </x:c>
      <x:c r="N64" s="30" t="n">
        <x:v>3</x:v>
      </x:c>
      <x:c r="O64" s="30" t="n">
        <x:v>2</x:v>
      </x:c>
      <x:c r="P64" s="30" t="n">
        <x:v>3</x:v>
      </x:c>
      <x:c r="Q64" s="30" t="n">
        <x:v>1</x:v>
      </x:c>
      <x:c r="R64" s="30" t="n">
        <x:v>2</x:v>
      </x:c>
      <x:c r="S64" s="30" t="n">
        <x:v>3</x:v>
      </x:c>
      <x:c r="T64" s="30" t="n">
        <x:v>2</x:v>
      </x:c>
      <x:c r="U64" s="34" t="n">
        <x:f>AVERAGE(G64:T64)</x:f>
        <x:v>2.0714285714285716</x:v>
      </x:c>
      <x:c r="V64" s="30" t="n">
        <x:f>COUNTIF(G64:T64,"&lt;=1")</x:f>
        <x:v>3</x:v>
      </x:c>
      <x:c r="W64" s="26" t="str">
        <x:v>Sampling consistency, timeliness and linkage to catch documentation</x:v>
      </x:c>
      <x:c r="X64" s="26" t="str">
        <x:v>High</x:v>
      </x:c>
      <x:c r="Y64" s="26" t="str">
        <x:v>Desk-review score; validate with developer and user evidence</x:v>
      </x:c>
    </x:row>
    <x:row r="65" ht="44" customHeight="1">
      <x:c r="A65" s="26" t="str">
        <x:v>D2-061</x:v>
      </x:c>
      <x:c r="B65" s="26" t="str">
        <x:v>Special Area for Agricultural Development Database</x:v>
      </x:c>
      <x:c r="C65" s="26" t="str">
        <x:v>National government</x:v>
      </x:c>
      <x:c r="D65" s="26" t="str">
        <x:v>Data infrastructure, interoperability &amp; dashboards</x:v>
      </x:c>
      <x:c r="E65" s="26" t="str">
        <x:v>Active / operational</x:v>
      </x:c>
      <x:c r="F65" s="26" t="str">
        <x:v>High</x:v>
      </x:c>
      <x:c r="G65" s="30" t="n">
        <x:v>3</x:v>
      </x:c>
      <x:c r="H65" s="30" t="n">
        <x:v>2</x:v>
      </x:c>
      <x:c r="I65" s="30" t="n">
        <x:v>2</x:v>
      </x:c>
      <x:c r="J65" s="30" t="n">
        <x:v>2</x:v>
      </x:c>
      <x:c r="K65" s="30" t="n">
        <x:v>1</x:v>
      </x:c>
      <x:c r="L65" s="30" t="n">
        <x:v>2</x:v>
      </x:c>
      <x:c r="M65" s="30" t="n">
        <x:v>1</x:v>
      </x:c>
      <x:c r="N65" s="30" t="n">
        <x:v>3</x:v>
      </x:c>
      <x:c r="O65" s="30" t="n">
        <x:v>2</x:v>
      </x:c>
      <x:c r="P65" s="30" t="n">
        <x:v>3</x:v>
      </x:c>
      <x:c r="Q65" s="30" t="n">
        <x:v>1</x:v>
      </x:c>
      <x:c r="R65" s="30" t="n">
        <x:v>2</x:v>
      </x:c>
      <x:c r="S65" s="30" t="n">
        <x:v>3</x:v>
      </x:c>
      <x:c r="T65" s="30" t="n">
        <x:v>2</x:v>
      </x:c>
      <x:c r="U65" s="34" t="n">
        <x:f>AVERAGE(G65:T65)</x:f>
        <x:v>2.0714285714285716</x:v>
      </x:c>
      <x:c r="V65" s="30" t="n">
        <x:f>COUNTIF(G65:T65,"&lt;=1")</x:f>
        <x:v>3</x:v>
      </x:c>
      <x:c r="W65" s="26" t="str">
        <x:v>Program-specific silos, duplicate profiles and outcome analytics</x:v>
      </x:c>
      <x:c r="X65" s="26" t="str">
        <x:v>High</x:v>
      </x:c>
      <x:c r="Y65" s="26" t="str">
        <x:v>Desk-review score; validate with developer and user evidence</x:v>
      </x:c>
    </x:row>
    <x:row r="66" ht="44" customHeight="1">
      <x:c r="A66" s="26" t="str">
        <x:v>D2-062</x:v>
      </x:c>
      <x:c r="B66" s="26" t="str">
        <x:v>Philippine Rapid Alert System for Food and Feed</x:v>
      </x:c>
      <x:c r="C66" s="26" t="str">
        <x:v>National government partnership</x:v>
      </x:c>
      <x:c r="D66" s="26" t="str">
        <x:v>Traceability, food safety &amp; MRV</x:v>
      </x:c>
      <x:c r="E66" s="26" t="str">
        <x:v>Status unverified</x:v>
      </x:c>
      <x:c r="F66" s="26" t="str">
        <x:v>Low</x:v>
      </x:c>
      <x:c r="G66" s="30" t="n">
        <x:v>1</x:v>
      </x:c>
      <x:c r="H66" s="30" t="n">
        <x:v>0</x:v>
      </x:c>
      <x:c r="I66" s="30" t="n">
        <x:v>1</x:v>
      </x:c>
      <x:c r="J66" s="30" t="n">
        <x:v>1</x:v>
      </x:c>
      <x:c r="K66" s="30" t="n">
        <x:v>1</x:v>
      </x:c>
      <x:c r="L66" s="30" t="n">
        <x:v>1</x:v>
      </x:c>
      <x:c r="M66" s="30" t="n">
        <x:v>1</x:v>
      </x:c>
      <x:c r="N66" s="30" t="n">
        <x:v>1</x:v>
      </x:c>
      <x:c r="O66" s="30" t="n">
        <x:v>1</x:v>
      </x:c>
      <x:c r="P66" s="30" t="n">
        <x:v>1</x:v>
      </x:c>
      <x:c r="Q66" s="30" t="n">
        <x:v>1</x:v>
      </x:c>
      <x:c r="R66" s="30" t="n">
        <x:v>1</x:v>
      </x:c>
      <x:c r="S66" s="30" t="n">
        <x:v>1</x:v>
      </x:c>
      <x:c r="T66" s="30" t="n">
        <x:v>1</x:v>
      </x:c>
      <x:c r="U66" s="34" t="n">
        <x:f>AVERAGE(G66:T66)</x:f>
        <x:v>0.9285714285714286</x:v>
      </x:c>
      <x:c r="V66" s="30" t="n">
        <x:f>COUNTIF(G66:T66,"&lt;=1")</x:f>
        <x:v>14</x:v>
      </x:c>
      <x:c r="W66" s="26" t="str">
        <x:v>Current status, timeliness, interoperability and public communication</x:v>
      </x:c>
      <x:c r="X66" s="26" t="str">
        <x:v>Medium</x:v>
      </x:c>
      <x:c r="Y66" s="26" t="str">
        <x:v>Desk-review score; validate with developer and user evidence</x:v>
      </x:c>
    </x:row>
    <x:row r="67" ht="44" customHeight="1">
      <x:c r="A67" s="26" t="str">
        <x:v>D2-063</x:v>
      </x:c>
      <x:c r="B67" s="26" t="str">
        <x:v>Cost-Effective Marine Vessel Monitoring Platform through AIS Systems and Surveillance</x:v>
      </x:c>
      <x:c r="C67" s="26" t="str">
        <x:v>National research institute</x:v>
      </x:c>
      <x:c r="D67" s="26" t="str">
        <x:v>Fisheries &amp; aquaculture</x:v>
      </x:c>
      <x:c r="E67" s="26" t="str">
        <x:v>Project ongoing</x:v>
      </x:c>
      <x:c r="F67" s="26" t="str">
        <x:v>High</x:v>
      </x:c>
      <x:c r="G67" s="30" t="n">
        <x:v>1</x:v>
      </x:c>
      <x:c r="H67" s="30" t="n">
        <x:v>1</x:v>
      </x:c>
      <x:c r="I67" s="30" t="n">
        <x:v>1</x:v>
      </x:c>
      <x:c r="J67" s="30" t="n">
        <x:v>1</x:v>
      </x:c>
      <x:c r="K67" s="30" t="n">
        <x:v>1</x:v>
      </x:c>
      <x:c r="L67" s="30" t="n">
        <x:v>2</x:v>
      </x:c>
      <x:c r="M67" s="30" t="n">
        <x:v>2</x:v>
      </x:c>
      <x:c r="N67" s="30" t="n">
        <x:v>2</x:v>
      </x:c>
      <x:c r="O67" s="30" t="n">
        <x:v>2</x:v>
      </x:c>
      <x:c r="P67" s="30" t="n">
        <x:v>1</x:v>
      </x:c>
      <x:c r="Q67" s="30" t="n">
        <x:v>1</x:v>
      </x:c>
      <x:c r="R67" s="30" t="n">
        <x:v>2</x:v>
      </x:c>
      <x:c r="S67" s="30" t="n">
        <x:v>1</x:v>
      </x:c>
      <x:c r="T67" s="30" t="n">
        <x:v>2</x:v>
      </x:c>
      <x:c r="U67" s="34" t="n">
        <x:f>AVERAGE(G67:T67)</x:f>
        <x:v>1.4285714285714286</x:v>
      </x:c>
      <x:c r="V67" s="30" t="n">
        <x:f>COUNTIF(G67:T67,"&lt;=1")</x:f>
        <x:v>8</x:v>
      </x:c>
      <x:c r="W67" s="26" t="str">
        <x:v>Coverage, identity matching, cybersecurity and overlap with BFAR/PCG</x:v>
      </x:c>
      <x:c r="X67" s="26" t="str">
        <x:v>Medium</x:v>
      </x:c>
      <x:c r="Y67" s="26" t="str">
        <x:v>Desk-review score; validate with developer and user evidence</x:v>
      </x:c>
    </x:row>
    <x:row r="68" ht="44" customHeight="1">
      <x:c r="A68" s="26" t="str">
        <x:v>D2-064</x:v>
      </x:c>
      <x:c r="B68" s="26" t="str">
        <x:v>Philippine Animal Health Information System</x:v>
      </x:c>
      <x:c r="C68" s="26" t="str">
        <x:v>National government</x:v>
      </x:c>
      <x:c r="D68" s="26" t="str">
        <x:v>Pest, disease &amp; biosecurity</x:v>
      </x:c>
      <x:c r="E68" s="26" t="str">
        <x:v>Active / operational</x:v>
      </x:c>
      <x:c r="F68" s="26" t="str">
        <x:v>High</x:v>
      </x:c>
      <x:c r="G68" s="30" t="n">
        <x:v>3</x:v>
      </x:c>
      <x:c r="H68" s="30" t="n">
        <x:v>2</x:v>
      </x:c>
      <x:c r="I68" s="30" t="n">
        <x:v>2</x:v>
      </x:c>
      <x:c r="J68" s="30" t="n">
        <x:v>2</x:v>
      </x:c>
      <x:c r="K68" s="30" t="n">
        <x:v>1</x:v>
      </x:c>
      <x:c r="L68" s="30" t="n">
        <x:v>2</x:v>
      </x:c>
      <x:c r="M68" s="30" t="n">
        <x:v>1</x:v>
      </x:c>
      <x:c r="N68" s="30" t="n">
        <x:v>3</x:v>
      </x:c>
      <x:c r="O68" s="30" t="n">
        <x:v>2</x:v>
      </x:c>
      <x:c r="P68" s="30" t="n">
        <x:v>3</x:v>
      </x:c>
      <x:c r="Q68" s="30" t="n">
        <x:v>1</x:v>
      </x:c>
      <x:c r="R68" s="30" t="n">
        <x:v>2</x:v>
      </x:c>
      <x:c r="S68" s="30" t="n">
        <x:v>3</x:v>
      </x:c>
      <x:c r="T68" s="30" t="n">
        <x:v>2</x:v>
      </x:c>
      <x:c r="U68" s="34" t="n">
        <x:f>AVERAGE(G68:T68)</x:f>
        <x:v>2.0714285714285716</x:v>
      </x:c>
      <x:c r="V68" s="30" t="n">
        <x:f>COUNTIF(G68:T68,"&lt;=1")</x:f>
        <x:v>3</x:v>
      </x:c>
      <x:c r="W68" s="26" t="str">
        <x:v>Reporting completeness, standards, local capacity and cross-disease integration</x:v>
      </x:c>
      <x:c r="X68" s="26" t="str">
        <x:v>High</x:v>
      </x:c>
      <x:c r="Y68" s="26" t="str">
        <x:v>Desk-review score; validate with developer and user evidence</x:v>
      </x:c>
    </x:row>
    <x:row r="69" ht="44" customHeight="1">
      <x:c r="A69" s="26" t="str">
        <x:v>D2-065</x:v>
      </x:c>
      <x:c r="B69" s="26" t="str">
        <x:v>Bureau of Animal Industry E-Services Portal</x:v>
      </x:c>
      <x:c r="C69" s="26" t="str">
        <x:v>National government</x:v>
      </x:c>
      <x:c r="D69" s="26" t="str">
        <x:v>Registry &amp; digital identity</x:v>
      </x:c>
      <x:c r="E69" s="26" t="str">
        <x:v>Active / operational</x:v>
      </x:c>
      <x:c r="F69" s="26" t="str">
        <x:v>High</x:v>
      </x:c>
      <x:c r="G69" s="30" t="n">
        <x:v>3</x:v>
      </x:c>
      <x:c r="H69" s="30" t="n">
        <x:v>2</x:v>
      </x:c>
      <x:c r="I69" s="30" t="n">
        <x:v>2</x:v>
      </x:c>
      <x:c r="J69" s="30" t="n">
        <x:v>2</x:v>
      </x:c>
      <x:c r="K69" s="30" t="n">
        <x:v>1</x:v>
      </x:c>
      <x:c r="L69" s="30" t="n">
        <x:v>2</x:v>
      </x:c>
      <x:c r="M69" s="30" t="n">
        <x:v>1</x:v>
      </x:c>
      <x:c r="N69" s="30" t="n">
        <x:v>3</x:v>
      </x:c>
      <x:c r="O69" s="30" t="n">
        <x:v>2</x:v>
      </x:c>
      <x:c r="P69" s="30" t="n">
        <x:v>3</x:v>
      </x:c>
      <x:c r="Q69" s="30" t="n">
        <x:v>1</x:v>
      </x:c>
      <x:c r="R69" s="30" t="n">
        <x:v>1</x:v>
      </x:c>
      <x:c r="S69" s="30" t="n">
        <x:v>3</x:v>
      </x:c>
      <x:c r="T69" s="30" t="n">
        <x:v>2</x:v>
      </x:c>
      <x:c r="U69" s="34" t="n">
        <x:f>AVERAGE(G69:T69)</x:f>
        <x:v>2</x:v>
      </x:c>
      <x:c r="V69" s="30" t="n">
        <x:f>COUNTIF(G69:T69,"&lt;=1")</x:f>
        <x:v>4</x:v>
      </x:c>
      <x:c r="W69" s="26" t="str">
        <x:v>User experience, document burden, cross-service identity and rural access</x:v>
      </x:c>
      <x:c r="X69" s="26" t="str">
        <x:v>High</x:v>
      </x:c>
      <x:c r="Y69" s="26" t="str">
        <x:v>Desk-review score; validate with developer and user evidence</x:v>
      </x:c>
    </x:row>
    <x:row r="70" ht="44" customHeight="1">
      <x:c r="A70" s="26" t="str">
        <x:v>D2-066</x:v>
      </x:c>
      <x:c r="B70" s="26" t="str">
        <x:v>Livestock, Poultry and Feed Price/Data Analytics</x:v>
      </x:c>
      <x:c r="C70" s="26" t="str">
        <x:v>National government</x:v>
      </x:c>
      <x:c r="D70" s="26" t="str">
        <x:v>Markets, e-commerce &amp; logistics</x:v>
      </x:c>
      <x:c r="E70" s="26" t="str">
        <x:v>Active / operational</x:v>
      </x:c>
      <x:c r="F70" s="26" t="str">
        <x:v>High</x:v>
      </x:c>
      <x:c r="G70" s="30" t="n">
        <x:v>2</x:v>
      </x:c>
      <x:c r="H70" s="30" t="n">
        <x:v>2</x:v>
      </x:c>
      <x:c r="I70" s="30" t="n">
        <x:v>1</x:v>
      </x:c>
      <x:c r="J70" s="30" t="n">
        <x:v>1</x:v>
      </x:c>
      <x:c r="K70" s="30" t="n">
        <x:v>1</x:v>
      </x:c>
      <x:c r="L70" s="30" t="n">
        <x:v>2</x:v>
      </x:c>
      <x:c r="M70" s="30" t="n">
        <x:v>1</x:v>
      </x:c>
      <x:c r="N70" s="30" t="n">
        <x:v>2</x:v>
      </x:c>
      <x:c r="O70" s="30" t="n">
        <x:v>3</x:v>
      </x:c>
      <x:c r="P70" s="30" t="n">
        <x:v>3</x:v>
      </x:c>
      <x:c r="Q70" s="30" t="n">
        <x:v>1</x:v>
      </x:c>
      <x:c r="R70" s="30" t="n">
        <x:v>1</x:v>
      </x:c>
      <x:c r="S70" s="30" t="n">
        <x:v>2</x:v>
      </x:c>
      <x:c r="T70" s="30" t="n">
        <x:v>2</x:v>
      </x:c>
      <x:c r="U70" s="34" t="n">
        <x:f>AVERAGE(G70:T70)</x:f>
        <x:v>1.7142857142857142</x:v>
      </x:c>
      <x:c r="V70" s="30" t="n">
        <x:f>COUNTIF(G70:T70,"&lt;=1")</x:f>
        <x:v>6</x:v>
      </x:c>
      <x:c r="W70" s="26" t="str">
        <x:v>Freshness, geographic detail, machine readability and decision linkage</x:v>
      </x:c>
      <x:c r="X70" s="26" t="str">
        <x:v>Medium</x:v>
      </x:c>
      <x:c r="Y70" s="26" t="str">
        <x:v>Desk-review score; validate with developer and user evidence</x:v>
      </x:c>
    </x:row>
    <x:row r="71" ht="44" customHeight="1">
      <x:c r="A71" s="26" t="str">
        <x:v>D2-067</x:v>
      </x:c>
      <x:c r="B71" s="26" t="str">
        <x:v>HIDIS and Transport Carrier Registration Online System</x:v>
      </x:c>
      <x:c r="C71" s="26" t="str">
        <x:v>National government</x:v>
      </x:c>
      <x:c r="D71" s="26" t="str">
        <x:v>Traceability, food safety &amp; MRV</x:v>
      </x:c>
      <x:c r="E71" s="26" t="str">
        <x:v>Active / operational</x:v>
      </x:c>
      <x:c r="F71" s="26" t="str">
        <x:v>High</x:v>
      </x:c>
      <x:c r="G71" s="30" t="n">
        <x:v>3</x:v>
      </x:c>
      <x:c r="H71" s="30" t="n">
        <x:v>2</x:v>
      </x:c>
      <x:c r="I71" s="30" t="n">
        <x:v>2</x:v>
      </x:c>
      <x:c r="J71" s="30" t="n">
        <x:v>2</x:v>
      </x:c>
      <x:c r="K71" s="30" t="n">
        <x:v>1</x:v>
      </x:c>
      <x:c r="L71" s="30" t="n">
        <x:v>2</x:v>
      </x:c>
      <x:c r="M71" s="30" t="n">
        <x:v>1</x:v>
      </x:c>
      <x:c r="N71" s="30" t="n">
        <x:v>3</x:v>
      </x:c>
      <x:c r="O71" s="30" t="n">
        <x:v>3</x:v>
      </x:c>
      <x:c r="P71" s="30" t="n">
        <x:v>3</x:v>
      </x:c>
      <x:c r="Q71" s="30" t="n">
        <x:v>1</x:v>
      </x:c>
      <x:c r="R71" s="30" t="n">
        <x:v>2</x:v>
      </x:c>
      <x:c r="S71" s="30" t="n">
        <x:v>3</x:v>
      </x:c>
      <x:c r="T71" s="30" t="n">
        <x:v>2</x:v>
      </x:c>
      <x:c r="U71" s="34" t="n">
        <x:f>AVERAGE(G71:T71)</x:f>
        <x:v>2.142857142857143</x:v>
      </x:c>
      <x:c r="V71" s="30" t="n">
        <x:f>COUNTIF(G71:T71,"&lt;=1")</x:f>
        <x:v>3</x:v>
      </x:c>
      <x:c r="W71" s="26" t="str">
        <x:v>Onboarding, identity matching, enforcement and rural access</x:v>
      </x:c>
      <x:c r="X71" s="26" t="str">
        <x:v>High</x:v>
      </x:c>
      <x:c r="Y71" s="26" t="str">
        <x:v>Desk-review score; validate with developer and user evidence</x:v>
      </x:c>
    </x:row>
    <x:row r="72" ht="44" customHeight="1">
      <x:c r="A72" s="26" t="str">
        <x:v>D2-068</x:v>
      </x:c>
      <x:c r="B72" s="26" t="str">
        <x:v>PCIC Computer-Assisted Personal Interview / Digital Field Enrollment</x:v>
      </x:c>
      <x:c r="C72" s="26" t="str">
        <x:v>Government corporation</x:v>
      </x:c>
      <x:c r="D72" s="26" t="str">
        <x:v>Finance, insurance &amp; payments</x:v>
      </x:c>
      <x:c r="E72" s="26" t="str">
        <x:v>Status unverified</x:v>
      </x:c>
      <x:c r="F72" s="26" t="str">
        <x:v>Medium</x:v>
      </x:c>
      <x:c r="G72" s="30" t="n">
        <x:v>2</x:v>
      </x:c>
      <x:c r="H72" s="30" t="n">
        <x:v>0</x:v>
      </x:c>
      <x:c r="I72" s="30" t="n">
        <x:v>1</x:v>
      </x:c>
      <x:c r="J72" s="30" t="n">
        <x:v>1</x:v>
      </x:c>
      <x:c r="K72" s="30" t="n">
        <x:v>1</x:v>
      </x:c>
      <x:c r="L72" s="30" t="n">
        <x:v>2</x:v>
      </x:c>
      <x:c r="M72" s="30" t="n">
        <x:v>1</x:v>
      </x:c>
      <x:c r="N72" s="30" t="n">
        <x:v>2</x:v>
      </x:c>
      <x:c r="O72" s="30" t="n">
        <x:v>3</x:v>
      </x:c>
      <x:c r="P72" s="30" t="n">
        <x:v>2</x:v>
      </x:c>
      <x:c r="Q72" s="30" t="n">
        <x:v>1</x:v>
      </x:c>
      <x:c r="R72" s="30" t="n">
        <x:v>2</x:v>
      </x:c>
      <x:c r="S72" s="30" t="n">
        <x:v>1</x:v>
      </x:c>
      <x:c r="T72" s="30" t="n">
        <x:v>2</x:v>
      </x:c>
      <x:c r="U72" s="34" t="n">
        <x:f>AVERAGE(G72:T72)</x:f>
        <x:v>1.5</x:v>
      </x:c>
      <x:c r="V72" s="30" t="n">
        <x:f>COUNTIF(G72:T72,"&lt;=1")</x:f>
        <x:v>7</x:v>
      </x:c>
      <x:c r="W72" s="26" t="str">
        <x:v>Data quality, claims turnaround, transparency and system fragmentation</x:v>
      </x:c>
      <x:c r="X72" s="26" t="str">
        <x:v>High</x:v>
      </x:c>
      <x:c r="Y72" s="26" t="str">
        <x:v>Desk-review score; validate with developer and user evidence</x:v>
      </x:c>
    </x:row>
    <x:row r="73" ht="44" customHeight="1">
      <x:c r="A73" s="26" t="str">
        <x:v>D2-069</x:v>
      </x:c>
      <x:c r="B73" s="26" t="str">
        <x:v>Cropital</x:v>
      </x:c>
      <x:c r="C73" s="26" t="str">
        <x:v>Private social enterprise</x:v>
      </x:c>
      <x:c r="D73" s="26" t="str">
        <x:v>Finance, insurance &amp; payments</x:v>
      </x:c>
      <x:c r="E73" s="26" t="str">
        <x:v>Active / operational</x:v>
      </x:c>
      <x:c r="F73" s="26" t="str">
        <x:v>High</x:v>
      </x:c>
      <x:c r="G73" s="30" t="n">
        <x:v>2</x:v>
      </x:c>
      <x:c r="H73" s="30" t="n">
        <x:v>2</x:v>
      </x:c>
      <x:c r="I73" s="30" t="n">
        <x:v>2</x:v>
      </x:c>
      <x:c r="J73" s="30" t="n">
        <x:v>2</x:v>
      </x:c>
      <x:c r="K73" s="30" t="n">
        <x:v>1</x:v>
      </x:c>
      <x:c r="L73" s="30" t="n">
        <x:v>1</x:v>
      </x:c>
      <x:c r="M73" s="30" t="n">
        <x:v>1</x:v>
      </x:c>
      <x:c r="N73" s="30" t="n">
        <x:v>2</x:v>
      </x:c>
      <x:c r="O73" s="30" t="n">
        <x:v>3</x:v>
      </x:c>
      <x:c r="P73" s="30" t="n">
        <x:v>1</x:v>
      </x:c>
      <x:c r="Q73" s="30" t="n">
        <x:v>1</x:v>
      </x:c>
      <x:c r="R73" s="30" t="n">
        <x:v>2</x:v>
      </x:c>
      <x:c r="S73" s="30" t="n">
        <x:v>2</x:v>
      </x:c>
      <x:c r="T73" s="30" t="n">
        <x:v>2</x:v>
      </x:c>
      <x:c r="U73" s="34" t="n">
        <x:f>AVERAGE(G73:T73)</x:f>
        <x:v>1.7142857142857142</x:v>
      </x:c>
      <x:c r="V73" s="30" t="n">
        <x:f>COUNTIF(G73:T73,"&lt;=1")</x:f>
        <x:v>5</x:v>
      </x:c>
      <x:c r="W73" s="26" t="str">
        <x:v>Regulation, production risk, investor protection and transparent outcomes</x:v>
      </x:c>
      <x:c r="X73" s="26" t="str">
        <x:v>Medium</x:v>
      </x:c>
      <x:c r="Y73" s="26" t="str">
        <x:v>Desk-review score; validate with developer and user evidence</x:v>
      </x:c>
    </x:row>
    <x:row r="74" ht="44" customHeight="1">
      <x:c r="A74" s="26" t="str">
        <x:v>D2-070</x:v>
      </x:c>
      <x:c r="B74" s="26" t="str">
        <x:v>FarmOn</x:v>
      </x:c>
      <x:c r="C74" s="26" t="str">
        <x:v>Private company</x:v>
      </x:c>
      <x:c r="D74" s="26" t="str">
        <x:v>Finance, insurance &amp; payments</x:v>
      </x:c>
      <x:c r="E74" s="26" t="str">
        <x:v>Status unverified</x:v>
      </x:c>
      <x:c r="F74" s="26" t="str">
        <x:v>Low</x:v>
      </x:c>
      <x:c r="G74" s="30" t="n">
        <x:v>1</x:v>
      </x:c>
      <x:c r="H74" s="30" t="n">
        <x:v>0</x:v>
      </x:c>
      <x:c r="I74" s="30" t="n">
        <x:v>1</x:v>
      </x:c>
      <x:c r="J74" s="30" t="n">
        <x:v>1</x:v>
      </x:c>
      <x:c r="K74" s="30" t="n">
        <x:v>1</x:v>
      </x:c>
      <x:c r="L74" s="30" t="n">
        <x:v>1</x:v>
      </x:c>
      <x:c r="M74" s="30" t="n">
        <x:v>1</x:v>
      </x:c>
      <x:c r="N74" s="30" t="n">
        <x:v>1</x:v>
      </x:c>
      <x:c r="O74" s="30" t="n">
        <x:v>1</x:v>
      </x:c>
      <x:c r="P74" s="30" t="n">
        <x:v>1</x:v>
      </x:c>
      <x:c r="Q74" s="30" t="n">
        <x:v>1</x:v>
      </x:c>
      <x:c r="R74" s="30" t="n">
        <x:v>1</x:v>
      </x:c>
      <x:c r="S74" s="30" t="n">
        <x:v>1</x:v>
      </x:c>
      <x:c r="T74" s="30" t="n">
        <x:v>1</x:v>
      </x:c>
      <x:c r="U74" s="34" t="n">
        <x:f>AVERAGE(G74:T74)</x:f>
        <x:v>0.9285714285714286</x:v>
      </x:c>
      <x:c r="V74" s="30" t="n">
        <x:f>COUNTIF(G74:T74,"&lt;=1")</x:f>
        <x:v>14</x:v>
      </x:c>
      <x:c r="W74" s="26" t="str">
        <x:v>Current status, regulation, transparency and participant protection</x:v>
      </x:c>
      <x:c r="X74" s="26" t="str">
        <x:v>Low</x:v>
      </x:c>
      <x:c r="Y74" s="26" t="str">
        <x:v>Desk-review score; validate with developer and user evidence</x:v>
      </x:c>
    </x:row>
    <x:row r="75" ht="44" customHeight="1">
      <x:c r="A75" s="26" t="str">
        <x:v>D2-071</x:v>
      </x:c>
      <x:c r="B75" s="26" t="str">
        <x:v>Mayani</x:v>
      </x:c>
      <x:c r="C75" s="26" t="str">
        <x:v>Private social enterprise</x:v>
      </x:c>
      <x:c r="D75" s="26" t="str">
        <x:v>Markets, e-commerce &amp; logistics</x:v>
      </x:c>
      <x:c r="E75" s="26" t="str">
        <x:v>Active / operational</x:v>
      </x:c>
      <x:c r="F75" s="26" t="str">
        <x:v>High</x:v>
      </x:c>
      <x:c r="G75" s="30" t="n">
        <x:v>2</x:v>
      </x:c>
      <x:c r="H75" s="30" t="n">
        <x:v>2</x:v>
      </x:c>
      <x:c r="I75" s="30" t="n">
        <x:v>2</x:v>
      </x:c>
      <x:c r="J75" s="30" t="n">
        <x:v>2</x:v>
      </x:c>
      <x:c r="K75" s="30" t="n">
        <x:v>1</x:v>
      </x:c>
      <x:c r="L75" s="30" t="n">
        <x:v>1</x:v>
      </x:c>
      <x:c r="M75" s="30" t="n">
        <x:v>1</x:v>
      </x:c>
      <x:c r="N75" s="30" t="n">
        <x:v>2</x:v>
      </x:c>
      <x:c r="O75" s="30" t="n">
        <x:v>3</x:v>
      </x:c>
      <x:c r="P75" s="30" t="n">
        <x:v>1</x:v>
      </x:c>
      <x:c r="Q75" s="30" t="n">
        <x:v>1</x:v>
      </x:c>
      <x:c r="R75" s="30" t="n">
        <x:v>1</x:v>
      </x:c>
      <x:c r="S75" s="30" t="n">
        <x:v>2</x:v>
      </x:c>
      <x:c r="T75" s="30" t="n">
        <x:v>2</x:v>
      </x:c>
      <x:c r="U75" s="34" t="n">
        <x:f>AVERAGE(G75:T75)</x:f>
        <x:v>1.6428571428571428</x:v>
      </x:c>
      <x:c r="V75" s="30" t="n">
        <x:f>COUNTIF(G75:T75,"&lt;=1")</x:f>
        <x:v>6</x:v>
      </x:c>
      <x:c r="W75" s="26" t="str">
        <x:v>Working capital, logistics, quality consistency, terms and unit economics</x:v>
      </x:c>
      <x:c r="X75" s="26" t="str">
        <x:v>High</x:v>
      </x:c>
      <x:c r="Y75" s="26" t="str">
        <x:v>Desk-review score; validate with developer and user evidence</x:v>
      </x:c>
    </x:row>
    <x:row r="76" ht="44" customHeight="1">
      <x:c r="A76" s="26" t="str">
        <x:v>D2-072</x:v>
      </x:c>
      <x:c r="B76" s="26" t="str">
        <x:v>KITA Agritech</x:v>
      </x:c>
      <x:c r="C76" s="26" t="str">
        <x:v>Private company</x:v>
      </x:c>
      <x:c r="D76" s="26" t="str">
        <x:v>Markets, e-commerce &amp; logistics</x:v>
      </x:c>
      <x:c r="E76" s="26" t="str">
        <x:v>Active / operational</x:v>
      </x:c>
      <x:c r="F76" s="26" t="str">
        <x:v>High</x:v>
      </x:c>
      <x:c r="G76" s="30" t="n">
        <x:v>2</x:v>
      </x:c>
      <x:c r="H76" s="30" t="n">
        <x:v>2</x:v>
      </x:c>
      <x:c r="I76" s="30" t="n">
        <x:v>2</x:v>
      </x:c>
      <x:c r="J76" s="30" t="n">
        <x:v>2</x:v>
      </x:c>
      <x:c r="K76" s="30" t="n">
        <x:v>1</x:v>
      </x:c>
      <x:c r="L76" s="30" t="n">
        <x:v>1</x:v>
      </x:c>
      <x:c r="M76" s="30" t="n">
        <x:v>1</x:v>
      </x:c>
      <x:c r="N76" s="30" t="n">
        <x:v>2</x:v>
      </x:c>
      <x:c r="O76" s="30" t="n">
        <x:v>3</x:v>
      </x:c>
      <x:c r="P76" s="30" t="n">
        <x:v>1</x:v>
      </x:c>
      <x:c r="Q76" s="30" t="n">
        <x:v>1</x:v>
      </x:c>
      <x:c r="R76" s="30" t="n">
        <x:v>2</x:v>
      </x:c>
      <x:c r="S76" s="30" t="n">
        <x:v>2</x:v>
      </x:c>
      <x:c r="T76" s="30" t="n">
        <x:v>2</x:v>
      </x:c>
      <x:c r="U76" s="34" t="n">
        <x:f>AVERAGE(G76:T76)</x:f>
        <x:v>1.7142857142857142</x:v>
      </x:c>
      <x:c r="V76" s="30" t="n">
        <x:f>COUNTIF(G76:T76,"&lt;=1")</x:f>
        <x:v>5</x:v>
      </x:c>
      <x:c r="W76" s="26" t="str">
        <x:v>Supply consistency, working capital, quality, cold chain and farmer terms</x:v>
      </x:c>
      <x:c r="X76" s="26" t="str">
        <x:v>High</x:v>
      </x:c>
      <x:c r="Y76" s="26" t="str">
        <x:v>Desk-review score; validate with developer and user evidence</x:v>
      </x:c>
    </x:row>
    <x:row r="77" ht="44" customHeight="1">
      <x:c r="A77" s="26" t="str">
        <x:v>D2-073</x:v>
      </x:c>
      <x:c r="B77" s="26" t="str">
        <x:v>GOEdenPH</x:v>
      </x:c>
      <x:c r="C77" s="26" t="str">
        <x:v>Private company</x:v>
      </x:c>
      <x:c r="D77" s="26" t="str">
        <x:v>Inputs, seed &amp; nutrient tools</x:v>
      </x:c>
      <x:c r="E77" s="26" t="str">
        <x:v>Active / operational</x:v>
      </x:c>
      <x:c r="F77" s="26" t="str">
        <x:v>High</x:v>
      </x:c>
      <x:c r="G77" s="30" t="n">
        <x:v>2</x:v>
      </x:c>
      <x:c r="H77" s="30" t="n">
        <x:v>2</x:v>
      </x:c>
      <x:c r="I77" s="30" t="n">
        <x:v>2</x:v>
      </x:c>
      <x:c r="J77" s="30" t="n">
        <x:v>2</x:v>
      </x:c>
      <x:c r="K77" s="30" t="n">
        <x:v>1</x:v>
      </x:c>
      <x:c r="L77" s="30" t="n">
        <x:v>1</x:v>
      </x:c>
      <x:c r="M77" s="30" t="n">
        <x:v>1</x:v>
      </x:c>
      <x:c r="N77" s="30" t="n">
        <x:v>2</x:v>
      </x:c>
      <x:c r="O77" s="30" t="n">
        <x:v>2</x:v>
      </x:c>
      <x:c r="P77" s="30" t="n">
        <x:v>1</x:v>
      </x:c>
      <x:c r="Q77" s="30" t="n">
        <x:v>2</x:v>
      </x:c>
      <x:c r="R77" s="30" t="n">
        <x:v>1</x:v>
      </x:c>
      <x:c r="S77" s="30" t="n">
        <x:v>2</x:v>
      </x:c>
      <x:c r="T77" s="30" t="n">
        <x:v>2</x:v>
      </x:c>
      <x:c r="U77" s="34" t="n">
        <x:f>AVERAGE(G77:T77)</x:f>
        <x:v>1.6428571428571428</x:v>
      </x:c>
      <x:c r="V77" s="30" t="n">
        <x:f>COUNTIF(G77:T77,"&lt;=1")</x:f>
        <x:v>5</x:v>
      </x:c>
      <x:c r="W77" s="26" t="str">
        <x:v>Authenticity, advisory liability, affordability and responsible pesticide use</x:v>
      </x:c>
      <x:c r="X77" s="26" t="str">
        <x:v>High</x:v>
      </x:c>
      <x:c r="Y77" s="26" t="str">
        <x:v>Desk-review score; validate with developer and user evidence</x:v>
      </x:c>
    </x:row>
    <x:row r="78" ht="44" customHeight="1">
      <x:c r="A78" s="26" t="str">
        <x:v>D2-074</x:v>
      </x:c>
      <x:c r="B78" s="26" t="str">
        <x:v>Agrabah Marketplace</x:v>
      </x:c>
      <x:c r="C78" s="26" t="str">
        <x:v>Private company / social enterprise</x:v>
      </x:c>
      <x:c r="D78" s="26" t="str">
        <x:v>Markets, e-commerce &amp; logistics</x:v>
      </x:c>
      <x:c r="E78" s="26" t="str">
        <x:v>Status unverified</x:v>
      </x:c>
      <x:c r="F78" s="26" t="str">
        <x:v>Low</x:v>
      </x:c>
      <x:c r="G78" s="30" t="n">
        <x:v>1</x:v>
      </x:c>
      <x:c r="H78" s="30" t="n">
        <x:v>0</x:v>
      </x:c>
      <x:c r="I78" s="30" t="n">
        <x:v>1</x:v>
      </x:c>
      <x:c r="J78" s="30" t="n">
        <x:v>1</x:v>
      </x:c>
      <x:c r="K78" s="30" t="n">
        <x:v>1</x:v>
      </x:c>
      <x:c r="L78" s="30" t="n">
        <x:v>1</x:v>
      </x:c>
      <x:c r="M78" s="30" t="n">
        <x:v>1</x:v>
      </x:c>
      <x:c r="N78" s="30" t="n">
        <x:v>1</x:v>
      </x:c>
      <x:c r="O78" s="30" t="n">
        <x:v>1</x:v>
      </x:c>
      <x:c r="P78" s="30" t="n">
        <x:v>1</x:v>
      </x:c>
      <x:c r="Q78" s="30" t="n">
        <x:v>1</x:v>
      </x:c>
      <x:c r="R78" s="30" t="n">
        <x:v>1</x:v>
      </x:c>
      <x:c r="S78" s="30" t="n">
        <x:v>1</x:v>
      </x:c>
      <x:c r="T78" s="30" t="n">
        <x:v>1</x:v>
      </x:c>
      <x:c r="U78" s="34" t="n">
        <x:f>AVERAGE(G78:T78)</x:f>
        <x:v>0.9285714285714286</x:v>
      </x:c>
      <x:c r="V78" s="30" t="n">
        <x:f>COUNTIF(G78:T78,"&lt;=1")</x:f>
        <x:v>14</x:v>
      </x:c>
      <x:c r="W78" s="26" t="str">
        <x:v>Current operating status, liquidity, logistics, trust and scale</x:v>
      </x:c>
      <x:c r="X78" s="26" t="str">
        <x:v>Low</x:v>
      </x:c>
      <x:c r="Y78" s="26" t="str">
        <x:v>Desk-review score; validate with developer and user evidence</x:v>
      </x:c>
    </x:row>
    <x:row r="79" ht="44" customHeight="1">
      <x:c r="A79" s="26" t="str">
        <x:v>D2-075</x:v>
      </x:c>
      <x:c r="B79" s="26" t="str">
        <x:v>Agro-DigitalPH</x:v>
      </x:c>
      <x:c r="C79" s="26" t="str">
        <x:v>Private agribusiness platform</x:v>
      </x:c>
      <x:c r="D79" s="26" t="str">
        <x:v>Markets, e-commerce &amp; logistics</x:v>
      </x:c>
      <x:c r="E79" s="26" t="str">
        <x:v>Active / status partly verified</x:v>
      </x:c>
      <x:c r="F79" s="26" t="str">
        <x:v>Medium</x:v>
      </x:c>
      <x:c r="G79" s="30" t="n">
        <x:v>2</x:v>
      </x:c>
      <x:c r="H79" s="30" t="n">
        <x:v>0</x:v>
      </x:c>
      <x:c r="I79" s="30" t="n">
        <x:v>2</x:v>
      </x:c>
      <x:c r="J79" s="30" t="n">
        <x:v>2</x:v>
      </x:c>
      <x:c r="K79" s="30" t="n">
        <x:v>1</x:v>
      </x:c>
      <x:c r="L79" s="30" t="n">
        <x:v>1</x:v>
      </x:c>
      <x:c r="M79" s="30" t="n">
        <x:v>1</x:v>
      </x:c>
      <x:c r="N79" s="30" t="n">
        <x:v>2</x:v>
      </x:c>
      <x:c r="O79" s="30" t="n">
        <x:v>3</x:v>
      </x:c>
      <x:c r="P79" s="30" t="n">
        <x:v>1</x:v>
      </x:c>
      <x:c r="Q79" s="30" t="n">
        <x:v>1</x:v>
      </x:c>
      <x:c r="R79" s="30" t="n">
        <x:v>1</x:v>
      </x:c>
      <x:c r="S79" s="30" t="n">
        <x:v>2</x:v>
      </x:c>
      <x:c r="T79" s="30" t="n">
        <x:v>2</x:v>
      </x:c>
      <x:c r="U79" s="34" t="n">
        <x:f>AVERAGE(G79:T79)</x:f>
        <x:v>1.5</x:v>
      </x:c>
      <x:c r="V79" s="30" t="n">
        <x:f>COUNTIF(G79:T79,"&lt;=1")</x:f>
        <x:v>7</x:v>
      </x:c>
      <x:c r="W79" s="26" t="str">
        <x:v>Public product detail, reach, farmer terms, logistics and impact evidence</x:v>
      </x:c>
      <x:c r="X79" s="26" t="str">
        <x:v>Medium</x:v>
      </x:c>
      <x:c r="Y79" s="26" t="str">
        <x:v>Desk-review score; validate with developer and user evidence</x:v>
      </x:c>
    </x:row>
    <x:row r="80" ht="44" customHeight="1">
      <x:c r="A80" s="26" t="str">
        <x:v>D2-076</x:v>
      </x:c>
      <x:c r="B80" s="26" t="str">
        <x:v>ANI Express</x:v>
      </x:c>
      <x:c r="C80" s="26" t="str">
        <x:v>Private company</x:v>
      </x:c>
      <x:c r="D80" s="26" t="str">
        <x:v>Markets, e-commerce &amp; logistics</x:v>
      </x:c>
      <x:c r="E80" s="26" t="str">
        <x:v>Status unverified</x:v>
      </x:c>
      <x:c r="F80" s="26" t="str">
        <x:v>Low</x:v>
      </x:c>
      <x:c r="G80" s="30" t="n">
        <x:v>1</x:v>
      </x:c>
      <x:c r="H80" s="30" t="n">
        <x:v>0</x:v>
      </x:c>
      <x:c r="I80" s="30" t="n">
        <x:v>1</x:v>
      </x:c>
      <x:c r="J80" s="30" t="n">
        <x:v>1</x:v>
      </x:c>
      <x:c r="K80" s="30" t="n">
        <x:v>1</x:v>
      </x:c>
      <x:c r="L80" s="30" t="n">
        <x:v>1</x:v>
      </x:c>
      <x:c r="M80" s="30" t="n">
        <x:v>1</x:v>
      </x:c>
      <x:c r="N80" s="30" t="n">
        <x:v>1</x:v>
      </x:c>
      <x:c r="O80" s="30" t="n">
        <x:v>1</x:v>
      </x:c>
      <x:c r="P80" s="30" t="n">
        <x:v>1</x:v>
      </x:c>
      <x:c r="Q80" s="30" t="n">
        <x:v>1</x:v>
      </x:c>
      <x:c r="R80" s="30" t="n">
        <x:v>1</x:v>
      </x:c>
      <x:c r="S80" s="30" t="n">
        <x:v>1</x:v>
      </x:c>
      <x:c r="T80" s="30" t="n">
        <x:v>1</x:v>
      </x:c>
      <x:c r="U80" s="34" t="n">
        <x:f>AVERAGE(G80:T80)</x:f>
        <x:v>0.9285714285714286</x:v>
      </x:c>
      <x:c r="V80" s="30" t="n">
        <x:f>COUNTIF(G80:T80,"&lt;=1")</x:f>
        <x:v>14</x:v>
      </x:c>
      <x:c r="W80" s="26" t="str">
        <x:v>Current operation, producer inclusion, unit economics and differentiation</x:v>
      </x:c>
      <x:c r="X80" s="26" t="str">
        <x:v>Low</x:v>
      </x:c>
      <x:c r="Y80" s="26" t="str">
        <x:v>Desk-review score; validate with developer and user evidence</x:v>
      </x:c>
    </x:row>
    <x:row r="81" ht="44" customHeight="1">
      <x:c r="A81" s="26" t="str">
        <x:v>D2-077</x:v>
      </x:c>
      <x:c r="B81" s="26" t="str">
        <x:v>Co-opBiz</x:v>
      </x:c>
      <x:c r="C81" s="26" t="str">
        <x:v>Government / cooperative sector</x:v>
      </x:c>
      <x:c r="D81" s="26" t="str">
        <x:v>Markets, e-commerce &amp; logistics</x:v>
      </x:c>
      <x:c r="E81" s="26" t="str">
        <x:v>Status unverified</x:v>
      </x:c>
      <x:c r="F81" s="26" t="str">
        <x:v>Low</x:v>
      </x:c>
      <x:c r="G81" s="30" t="n">
        <x:v>1</x:v>
      </x:c>
      <x:c r="H81" s="30" t="n">
        <x:v>0</x:v>
      </x:c>
      <x:c r="I81" s="30" t="n">
        <x:v>1</x:v>
      </x:c>
      <x:c r="J81" s="30" t="n">
        <x:v>1</x:v>
      </x:c>
      <x:c r="K81" s="30" t="n">
        <x:v>1</x:v>
      </x:c>
      <x:c r="L81" s="30" t="n">
        <x:v>1</x:v>
      </x:c>
      <x:c r="M81" s="30" t="n">
        <x:v>1</x:v>
      </x:c>
      <x:c r="N81" s="30" t="n">
        <x:v>1</x:v>
      </x:c>
      <x:c r="O81" s="30" t="n">
        <x:v>1</x:v>
      </x:c>
      <x:c r="P81" s="30" t="n">
        <x:v>1</x:v>
      </x:c>
      <x:c r="Q81" s="30" t="n">
        <x:v>1</x:v>
      </x:c>
      <x:c r="R81" s="30" t="n">
        <x:v>1</x:v>
      </x:c>
      <x:c r="S81" s="30" t="n">
        <x:v>1</x:v>
      </x:c>
      <x:c r="T81" s="30" t="n">
        <x:v>1</x:v>
      </x:c>
      <x:c r="U81" s="34" t="n">
        <x:f>AVERAGE(G81:T81)</x:f>
        <x:v>0.9285714285714286</x:v>
      </x:c>
      <x:c r="V81" s="30" t="n">
        <x:f>COUNTIF(G81:T81,"&lt;=1")</x:f>
        <x:v>14</x:v>
      </x:c>
      <x:c r="W81" s="26" t="str">
        <x:v>Platform continuity, inventory, logistics and digital readiness</x:v>
      </x:c>
      <x:c r="X81" s="26" t="str">
        <x:v>Medium</x:v>
      </x:c>
      <x:c r="Y81" s="26" t="str">
        <x:v>Desk-review score; validate with developer and user evidence</x:v>
      </x:c>
    </x:row>
    <x:row r="82" ht="44" customHeight="1">
      <x:c r="A82" s="26" t="str">
        <x:v>D2-078</x:v>
      </x:c>
      <x:c r="B82" s="26" t="str">
        <x:v>OneSTore.ph</x:v>
      </x:c>
      <x:c r="C82" s="26" t="str">
        <x:v>National government / R&amp;D support</x:v>
      </x:c>
      <x:c r="D82" s="26" t="str">
        <x:v>Markets, e-commerce &amp; logistics</x:v>
      </x:c>
      <x:c r="E82" s="26" t="str">
        <x:v>Active / operational</x:v>
      </x:c>
      <x:c r="F82" s="26" t="str">
        <x:v>High</x:v>
      </x:c>
      <x:c r="G82" s="30" t="n">
        <x:v>3</x:v>
      </x:c>
      <x:c r="H82" s="30" t="n">
        <x:v>2</x:v>
      </x:c>
      <x:c r="I82" s="30" t="n">
        <x:v>2</x:v>
      </x:c>
      <x:c r="J82" s="30" t="n">
        <x:v>2</x:v>
      </x:c>
      <x:c r="K82" s="30" t="n">
        <x:v>1</x:v>
      </x:c>
      <x:c r="L82" s="30" t="n">
        <x:v>2</x:v>
      </x:c>
      <x:c r="M82" s="30" t="n">
        <x:v>2</x:v>
      </x:c>
      <x:c r="N82" s="30" t="n">
        <x:v>3</x:v>
      </x:c>
      <x:c r="O82" s="30" t="n">
        <x:v>3</x:v>
      </x:c>
      <x:c r="P82" s="30" t="n">
        <x:v>3</x:v>
      </x:c>
      <x:c r="Q82" s="30" t="n">
        <x:v>2</x:v>
      </x:c>
      <x:c r="R82" s="30" t="n">
        <x:v>1</x:v>
      </x:c>
      <x:c r="S82" s="30" t="n">
        <x:v>3</x:v>
      </x:c>
      <x:c r="T82" s="30" t="n">
        <x:v>2</x:v>
      </x:c>
      <x:c r="U82" s="34" t="n">
        <x:f>AVERAGE(G82:T82)</x:f>
        <x:v>2.2142857142857144</x:v>
      </x:c>
      <x:c r="V82" s="30" t="n">
        <x:f>COUNTIF(G82:T82,"&lt;=1")</x:f>
        <x:v>2</x:v>
      </x:c>
      <x:c r="W82" s="26" t="str">
        <x:v>Traffic, logistics, inventory, product quality and sustainable operations</x:v>
      </x:c>
      <x:c r="X82" s="26" t="str">
        <x:v>Medium</x:v>
      </x:c>
      <x:c r="Y82" s="26" t="str">
        <x:v>Desk-review score; validate with developer and user evidence</x:v>
      </x:c>
    </x:row>
    <x:row r="83" ht="44" customHeight="1">
      <x:c r="A83" s="26" t="str">
        <x:v>D2-079</x:v>
      </x:c>
      <x:c r="B83" s="26" t="str">
        <x:v>Pili Marketplace</x:v>
      </x:c>
      <x:c r="C83" s="26" t="str">
        <x:v>Private / local platform</x:v>
      </x:c>
      <x:c r="D83" s="26" t="str">
        <x:v>Markets, e-commerce &amp; logistics</x:v>
      </x:c>
      <x:c r="E83" s="26" t="str">
        <x:v>Status unverified</x:v>
      </x:c>
      <x:c r="F83" s="26" t="str">
        <x:v>Low</x:v>
      </x:c>
      <x:c r="G83" s="30" t="n">
        <x:v>1</x:v>
      </x:c>
      <x:c r="H83" s="30" t="n">
        <x:v>0</x:v>
      </x:c>
      <x:c r="I83" s="30" t="n">
        <x:v>1</x:v>
      </x:c>
      <x:c r="J83" s="30" t="n">
        <x:v>1</x:v>
      </x:c>
      <x:c r="K83" s="30" t="n">
        <x:v>1</x:v>
      </x:c>
      <x:c r="L83" s="30" t="n">
        <x:v>1</x:v>
      </x:c>
      <x:c r="M83" s="30" t="n">
        <x:v>1</x:v>
      </x:c>
      <x:c r="N83" s="30" t="n">
        <x:v>1</x:v>
      </x:c>
      <x:c r="O83" s="30" t="n">
        <x:v>1</x:v>
      </x:c>
      <x:c r="P83" s="30" t="n">
        <x:v>1</x:v>
      </x:c>
      <x:c r="Q83" s="30" t="n">
        <x:v>1</x:v>
      </x:c>
      <x:c r="R83" s="30" t="n">
        <x:v>1</x:v>
      </x:c>
      <x:c r="S83" s="30" t="n">
        <x:v>1</x:v>
      </x:c>
      <x:c r="T83" s="30" t="n">
        <x:v>1</x:v>
      </x:c>
      <x:c r="U83" s="34" t="n">
        <x:f>AVERAGE(G83:T83)</x:f>
        <x:v>0.9285714285714286</x:v>
      </x:c>
      <x:c r="V83" s="30" t="n">
        <x:f>COUNTIF(G83:T83,"&lt;=1")</x:f>
        <x:v>14</x:v>
      </x:c>
      <x:c r="W83" s="26" t="str">
        <x:v>Current status, logistics, supply, quality and producer value distribution</x:v>
      </x:c>
      <x:c r="X83" s="26" t="str">
        <x:v>Low</x:v>
      </x:c>
      <x:c r="Y83" s="26" t="str">
        <x:v>Desk-review score; validate with developer and user evidence</x:v>
      </x:c>
    </x:row>
    <x:row r="84" ht="44" customHeight="1">
      <x:c r="A84" s="26" t="str">
        <x:v>D2-080</x:v>
      </x:c>
      <x:c r="B84" s="26" t="str">
        <x:v>Rural Rising Philippines Digital Market Channels</x:v>
      </x:c>
      <x:c r="C84" s="26" t="str">
        <x:v>NGO / social enterprise</x:v>
      </x:c>
      <x:c r="D84" s="26" t="str">
        <x:v>Markets, e-commerce &amp; logistics</x:v>
      </x:c>
      <x:c r="E84" s="26" t="str">
        <x:v>Active / operational</x:v>
      </x:c>
      <x:c r="F84" s="26" t="str">
        <x:v>High</x:v>
      </x:c>
      <x:c r="G84" s="30" t="n">
        <x:v>2</x:v>
      </x:c>
      <x:c r="H84" s="30" t="n">
        <x:v>2</x:v>
      </x:c>
      <x:c r="I84" s="30" t="n">
        <x:v>1</x:v>
      </x:c>
      <x:c r="J84" s="30" t="n">
        <x:v>1</x:v>
      </x:c>
      <x:c r="K84" s="30" t="n">
        <x:v>1</x:v>
      </x:c>
      <x:c r="L84" s="30" t="n">
        <x:v>1</x:v>
      </x:c>
      <x:c r="M84" s="30" t="n">
        <x:v>2</x:v>
      </x:c>
      <x:c r="N84" s="30" t="n">
        <x:v>1</x:v>
      </x:c>
      <x:c r="O84" s="30" t="n">
        <x:v>3</x:v>
      </x:c>
      <x:c r="P84" s="30" t="n">
        <x:v>1</x:v>
      </x:c>
      <x:c r="Q84" s="30" t="n">
        <x:v>1</x:v>
      </x:c>
      <x:c r="R84" s="30" t="n">
        <x:v>2</x:v>
      </x:c>
      <x:c r="S84" s="30" t="n">
        <x:v>2</x:v>
      </x:c>
      <x:c r="T84" s="30" t="n">
        <x:v>2</x:v>
      </x:c>
      <x:c r="U84" s="34" t="n">
        <x:f>AVERAGE(G84:T84)</x:f>
        <x:v>1.5714285714285714</x:v>
      </x:c>
      <x:c r="V84" s="30" t="n">
        <x:f>COUNTIF(G84:T84,"&lt;=1")</x:f>
        <x:v>7</x:v>
      </x:c>
      <x:c r="W84" s="26" t="str">
        <x:v>Predictability, logistics, quality and dependence on campaigns</x:v>
      </x:c>
      <x:c r="X84" s="26" t="str">
        <x:v>Medium</x:v>
      </x:c>
      <x:c r="Y84" s="26" t="str">
        <x:v>Desk-review score; validate with developer and user evidence</x:v>
      </x:c>
    </x:row>
    <x:row r="85" ht="44" customHeight="1">
      <x:c r="A85" s="26" t="str">
        <x:v>D2-081</x:v>
      </x:c>
      <x:c r="B85" s="26" t="str">
        <x:v>Session Groceries</x:v>
      </x:c>
      <x:c r="C85" s="26" t="str">
        <x:v>Private company / social enterprise</x:v>
      </x:c>
      <x:c r="D85" s="26" t="str">
        <x:v>Markets, e-commerce &amp; logistics</x:v>
      </x:c>
      <x:c r="E85" s="26" t="str">
        <x:v>Status unverified</x:v>
      </x:c>
      <x:c r="F85" s="26" t="str">
        <x:v>Low</x:v>
      </x:c>
      <x:c r="G85" s="30" t="n">
        <x:v>1</x:v>
      </x:c>
      <x:c r="H85" s="30" t="n">
        <x:v>0</x:v>
      </x:c>
      <x:c r="I85" s="30" t="n">
        <x:v>1</x:v>
      </x:c>
      <x:c r="J85" s="30" t="n">
        <x:v>1</x:v>
      </x:c>
      <x:c r="K85" s="30" t="n">
        <x:v>1</x:v>
      </x:c>
      <x:c r="L85" s="30" t="n">
        <x:v>1</x:v>
      </x:c>
      <x:c r="M85" s="30" t="n">
        <x:v>1</x:v>
      </x:c>
      <x:c r="N85" s="30" t="n">
        <x:v>1</x:v>
      </x:c>
      <x:c r="O85" s="30" t="n">
        <x:v>1</x:v>
      </x:c>
      <x:c r="P85" s="30" t="n">
        <x:v>1</x:v>
      </x:c>
      <x:c r="Q85" s="30" t="n">
        <x:v>1</x:v>
      </x:c>
      <x:c r="R85" s="30" t="n">
        <x:v>1</x:v>
      </x:c>
      <x:c r="S85" s="30" t="n">
        <x:v>1</x:v>
      </x:c>
      <x:c r="T85" s="30" t="n">
        <x:v>1</x:v>
      </x:c>
      <x:c r="U85" s="34" t="n">
        <x:f>AVERAGE(G85:T85)</x:f>
        <x:v>0.9285714285714286</x:v>
      </x:c>
      <x:c r="V85" s="30" t="n">
        <x:f>COUNTIF(G85:T85,"&lt;=1")</x:f>
        <x:v>14</x:v>
      </x:c>
      <x:c r="W85" s="26" t="str">
        <x:v>Current operation, cold chain, working capital, demand stability and farmer terms</x:v>
      </x:c>
      <x:c r="X85" s="26" t="str">
        <x:v>Low</x:v>
      </x:c>
      <x:c r="Y85" s="26" t="str">
        <x:v>Desk-review score; validate with developer and user evidence</x:v>
      </x:c>
    </x:row>
    <x:row r="86" ht="44" customHeight="1">
      <x:c r="A86" s="26" t="str">
        <x:v>D2-082</x:v>
      </x:c>
      <x:c r="B86" s="26" t="str">
        <x:v>Zagana</x:v>
      </x:c>
      <x:c r="C86" s="26" t="str">
        <x:v>Private company</x:v>
      </x:c>
      <x:c r="D86" s="26" t="str">
        <x:v>Markets, e-commerce &amp; logistics</x:v>
      </x:c>
      <x:c r="E86" s="26" t="str">
        <x:v>Active / status partly verified</x:v>
      </x:c>
      <x:c r="F86" s="26" t="str">
        <x:v>Medium</x:v>
      </x:c>
      <x:c r="G86" s="30" t="n">
        <x:v>2</x:v>
      </x:c>
      <x:c r="H86" s="30" t="n">
        <x:v>0</x:v>
      </x:c>
      <x:c r="I86" s="30" t="n">
        <x:v>2</x:v>
      </x:c>
      <x:c r="J86" s="30" t="n">
        <x:v>2</x:v>
      </x:c>
      <x:c r="K86" s="30" t="n">
        <x:v>1</x:v>
      </x:c>
      <x:c r="L86" s="30" t="n">
        <x:v>1</x:v>
      </x:c>
      <x:c r="M86" s="30" t="n">
        <x:v>1</x:v>
      </x:c>
      <x:c r="N86" s="30" t="n">
        <x:v>2</x:v>
      </x:c>
      <x:c r="O86" s="30" t="n">
        <x:v>3</x:v>
      </x:c>
      <x:c r="P86" s="30" t="n">
        <x:v>1</x:v>
      </x:c>
      <x:c r="Q86" s="30" t="n">
        <x:v>1</x:v>
      </x:c>
      <x:c r="R86" s="30" t="n">
        <x:v>1</x:v>
      </x:c>
      <x:c r="S86" s="30" t="n">
        <x:v>2</x:v>
      </x:c>
      <x:c r="T86" s="30" t="n">
        <x:v>2</x:v>
      </x:c>
      <x:c r="U86" s="34" t="n">
        <x:f>AVERAGE(G86:T86)</x:f>
        <x:v>1.5</x:v>
      </x:c>
      <x:c r="V86" s="30" t="n">
        <x:f>COUNTIF(G86:T86,"&lt;=1")</x:f>
        <x:v>7</x:v>
      </x:c>
      <x:c r="W86" s="26" t="str">
        <x:v>Farmer value share, competition, perishability and logistics cost</x:v>
      </x:c>
      <x:c r="X86" s="26" t="str">
        <x:v>Low</x:v>
      </x:c>
      <x:c r="Y86" s="26" t="str">
        <x:v>Desk-review score; validate with developer and user evidence</x:v>
      </x:c>
    </x:row>
    <x:row r="87" ht="44" customHeight="1">
      <x:c r="A87" s="26" t="str">
        <x:v>D2-083</x:v>
      </x:c>
      <x:c r="B87" s="26" t="str">
        <x:v>Livegreen International</x:v>
      </x:c>
      <x:c r="C87" s="26" t="str">
        <x:v>Private company</x:v>
      </x:c>
      <x:c r="D87" s="26" t="str">
        <x:v>Markets, e-commerce &amp; logistics</x:v>
      </x:c>
      <x:c r="E87" s="26" t="str">
        <x:v>Status unverified</x:v>
      </x:c>
      <x:c r="F87" s="26" t="str">
        <x:v>Low</x:v>
      </x:c>
      <x:c r="G87" s="30" t="n">
        <x:v>1</x:v>
      </x:c>
      <x:c r="H87" s="30" t="n">
        <x:v>0</x:v>
      </x:c>
      <x:c r="I87" s="30" t="n">
        <x:v>1</x:v>
      </x:c>
      <x:c r="J87" s="30" t="n">
        <x:v>1</x:v>
      </x:c>
      <x:c r="K87" s="30" t="n">
        <x:v>1</x:v>
      </x:c>
      <x:c r="L87" s="30" t="n">
        <x:v>1</x:v>
      </x:c>
      <x:c r="M87" s="30" t="n">
        <x:v>1</x:v>
      </x:c>
      <x:c r="N87" s="30" t="n">
        <x:v>1</x:v>
      </x:c>
      <x:c r="O87" s="30" t="n">
        <x:v>1</x:v>
      </x:c>
      <x:c r="P87" s="30" t="n">
        <x:v>1</x:v>
      </x:c>
      <x:c r="Q87" s="30" t="n">
        <x:v>1</x:v>
      </x:c>
      <x:c r="R87" s="30" t="n">
        <x:v>1</x:v>
      </x:c>
      <x:c r="S87" s="30" t="n">
        <x:v>1</x:v>
      </x:c>
      <x:c r="T87" s="30" t="n">
        <x:v>1</x:v>
      </x:c>
      <x:c r="U87" s="34" t="n">
        <x:f>AVERAGE(G87:T87)</x:f>
        <x:v>0.9285714285714286</x:v>
      </x:c>
      <x:c r="V87" s="30" t="n">
        <x:f>COUNTIF(G87:T87,"&lt;=1")</x:f>
        <x:v>14</x:v>
      </x:c>
      <x:c r="W87" s="26" t="str">
        <x:v>Current status, certification trust, supply consistency and scale</x:v>
      </x:c>
      <x:c r="X87" s="26" t="str">
        <x:v>Low</x:v>
      </x:c>
      <x:c r="Y87" s="26" t="str">
        <x:v>Desk-review score; validate with developer and user evidence</x:v>
      </x:c>
    </x:row>
    <x:row r="88" ht="44" customHeight="1">
      <x:c r="A88" s="26" t="str">
        <x:v>D2-084</x:v>
      </x:c>
      <x:c r="B88" s="26" t="str">
        <x:v>Ani Farm Marketplace</x:v>
      </x:c>
      <x:c r="C88" s="26" t="str">
        <x:v>Private company</x:v>
      </x:c>
      <x:c r="D88" s="26" t="str">
        <x:v>Markets, e-commerce &amp; logistics</x:v>
      </x:c>
      <x:c r="E88" s="26" t="str">
        <x:v>Active / operational</x:v>
      </x:c>
      <x:c r="F88" s="26" t="str">
        <x:v>High</x:v>
      </x:c>
      <x:c r="G88" s="30" t="n">
        <x:v>1</x:v>
      </x:c>
      <x:c r="H88" s="30" t="n">
        <x:v>2</x:v>
      </x:c>
      <x:c r="I88" s="30" t="n">
        <x:v>1</x:v>
      </x:c>
      <x:c r="J88" s="30" t="n">
        <x:v>1</x:v>
      </x:c>
      <x:c r="K88" s="30" t="n">
        <x:v>1</x:v>
      </x:c>
      <x:c r="L88" s="30" t="n">
        <x:v>1</x:v>
      </x:c>
      <x:c r="M88" s="30" t="n">
        <x:v>2</x:v>
      </x:c>
      <x:c r="N88" s="30" t="n">
        <x:v>2</x:v>
      </x:c>
      <x:c r="O88" s="30" t="n">
        <x:v>3</x:v>
      </x:c>
      <x:c r="P88" s="30" t="n">
        <x:v>1</x:v>
      </x:c>
      <x:c r="Q88" s="30" t="n">
        <x:v>1</x:v>
      </x:c>
      <x:c r="R88" s="30" t="n">
        <x:v>1</x:v>
      </x:c>
      <x:c r="S88" s="30" t="n">
        <x:v>2</x:v>
      </x:c>
      <x:c r="T88" s="30" t="n">
        <x:v>2</x:v>
      </x:c>
      <x:c r="U88" s="34" t="n">
        <x:f>AVERAGE(G88:T88)</x:f>
        <x:v>1.5</x:v>
      </x:c>
      <x:c r="V88" s="30" t="n">
        <x:f>COUNTIF(G88:T88,"&lt;=1")</x:f>
        <x:v>8</x:v>
      </x:c>
      <x:c r="W88" s="26" t="str">
        <x:v>Network effects, trust, verification, logistics density and early scale</x:v>
      </x:c>
      <x:c r="X88" s="26" t="str">
        <x:v>Low</x:v>
      </x:c>
      <x:c r="Y88" s="26" t="str">
        <x:v>Desk-review score; validate with developer and user evidence</x:v>
      </x:c>
    </x:row>
    <x:row r="89" ht="44" customHeight="1">
      <x:c r="A89" s="26" t="str">
        <x:v>D2-085</x:v>
      </x:c>
      <x:c r="B89" s="26" t="str">
        <x:v>Agriculturist PH / Tagani</x:v>
      </x:c>
      <x:c r="C89" s="26" t="str">
        <x:v>Private startup</x:v>
      </x:c>
      <x:c r="D89" s="26" t="str">
        <x:v>Advisory &amp; e-extension</x:v>
      </x:c>
      <x:c r="E89" s="26" t="str">
        <x:v>Active / status partly verified</x:v>
      </x:c>
      <x:c r="F89" s="26" t="str">
        <x:v>Medium</x:v>
      </x:c>
      <x:c r="G89" s="30" t="n">
        <x:v>2</x:v>
      </x:c>
      <x:c r="H89" s="30" t="n">
        <x:v>0</x:v>
      </x:c>
      <x:c r="I89" s="30" t="n">
        <x:v>2</x:v>
      </x:c>
      <x:c r="J89" s="30" t="n">
        <x:v>2</x:v>
      </x:c>
      <x:c r="K89" s="30" t="n">
        <x:v>3</x:v>
      </x:c>
      <x:c r="L89" s="30" t="n">
        <x:v>1</x:v>
      </x:c>
      <x:c r="M89" s="30" t="n">
        <x:v>1</x:v>
      </x:c>
      <x:c r="N89" s="30" t="n">
        <x:v>2</x:v>
      </x:c>
      <x:c r="O89" s="30" t="n">
        <x:v>2</x:v>
      </x:c>
      <x:c r="P89" s="30" t="n">
        <x:v>1</x:v>
      </x:c>
      <x:c r="Q89" s="30" t="n">
        <x:v>2</x:v>
      </x:c>
      <x:c r="R89" s="30" t="n">
        <x:v>1</x:v>
      </x:c>
      <x:c r="S89" s="30" t="n">
        <x:v>2</x:v>
      </x:c>
      <x:c r="T89" s="30" t="n">
        <x:v>2</x:v>
      </x:c>
      <x:c r="U89" s="34" t="n">
        <x:f>AVERAGE(G89:T89)</x:f>
        <x:v>1.6428571428571428</x:v>
      </x:c>
      <x:c r="V89" s="30" t="n">
        <x:f>COUNTIF(G89:T89,"&lt;=1")</x:f>
        <x:v>5</x:v>
      </x:c>
      <x:c r="W89" s="26" t="str">
        <x:v>Service continuity, product boundaries and farm-outcome evidence</x:v>
      </x:c>
      <x:c r="X89" s="26" t="str">
        <x:v>Medium</x:v>
      </x:c>
      <x:c r="Y89" s="26" t="str">
        <x:v>Desk-review score; validate with developer and user evidence</x:v>
      </x:c>
    </x:row>
    <x:row r="90" ht="44" customHeight="1">
      <x:c r="A90" s="26" t="str">
        <x:v>D2-086</x:v>
      </x:c>
      <x:c r="B90" s="26" t="str">
        <x:v>Krops</x:v>
      </x:c>
      <x:c r="C90" s="26" t="str">
        <x:v>Private company</x:v>
      </x:c>
      <x:c r="D90" s="26" t="str">
        <x:v>Markets, e-commerce &amp; logistics</x:v>
      </x:c>
      <x:c r="E90" s="26" t="str">
        <x:v>Status unverified</x:v>
      </x:c>
      <x:c r="F90" s="26" t="str">
        <x:v>Low</x:v>
      </x:c>
      <x:c r="G90" s="30" t="n">
        <x:v>1</x:v>
      </x:c>
      <x:c r="H90" s="30" t="n">
        <x:v>0</x:v>
      </x:c>
      <x:c r="I90" s="30" t="n">
        <x:v>1</x:v>
      </x:c>
      <x:c r="J90" s="30" t="n">
        <x:v>1</x:v>
      </x:c>
      <x:c r="K90" s="30" t="n">
        <x:v>1</x:v>
      </x:c>
      <x:c r="L90" s="30" t="n">
        <x:v>1</x:v>
      </x:c>
      <x:c r="M90" s="30" t="n">
        <x:v>1</x:v>
      </x:c>
      <x:c r="N90" s="30" t="n">
        <x:v>1</x:v>
      </x:c>
      <x:c r="O90" s="30" t="n">
        <x:v>1</x:v>
      </x:c>
      <x:c r="P90" s="30" t="n">
        <x:v>1</x:v>
      </x:c>
      <x:c r="Q90" s="30" t="n">
        <x:v>1</x:v>
      </x:c>
      <x:c r="R90" s="30" t="n">
        <x:v>1</x:v>
      </x:c>
      <x:c r="S90" s="30" t="n">
        <x:v>1</x:v>
      </x:c>
      <x:c r="T90" s="30" t="n">
        <x:v>1</x:v>
      </x:c>
      <x:c r="U90" s="34" t="n">
        <x:f>AVERAGE(G90:T90)</x:f>
        <x:v>0.9285714285714286</x:v>
      </x:c>
      <x:c r="V90" s="30" t="n">
        <x:f>COUNTIF(G90:T90,"&lt;=1")</x:f>
        <x:v>14</x:v>
      </x:c>
      <x:c r="W90" s="26" t="str">
        <x:v>Insufficient authoritative evidence on product, users, model and outcomes</x:v>
      </x:c>
      <x:c r="X90" s="26" t="str">
        <x:v>Low</x:v>
      </x:c>
      <x:c r="Y90" s="26" t="str">
        <x:v>Desk-review score; validate with developer and user evidence</x:v>
      </x:c>
    </x:row>
    <x:row r="91" ht="44" customHeight="1">
      <x:c r="A91" s="26" t="str">
        <x:v>D2-087</x:v>
      </x:c>
      <x:c r="B91" s="26" t="str">
        <x:v>e-Magsasaka</x:v>
      </x:c>
      <x:c r="C91" s="26" t="str">
        <x:v>Private / social enterprise</x:v>
      </x:c>
      <x:c r="D91" s="26" t="str">
        <x:v>Markets, e-commerce &amp; logistics</x:v>
      </x:c>
      <x:c r="E91" s="26" t="str">
        <x:v>Status unverified</x:v>
      </x:c>
      <x:c r="F91" s="26" t="str">
        <x:v>Low</x:v>
      </x:c>
      <x:c r="G91" s="30" t="n">
        <x:v>1</x:v>
      </x:c>
      <x:c r="H91" s="30" t="n">
        <x:v>0</x:v>
      </x:c>
      <x:c r="I91" s="30" t="n">
        <x:v>1</x:v>
      </x:c>
      <x:c r="J91" s="30" t="n">
        <x:v>1</x:v>
      </x:c>
      <x:c r="K91" s="30" t="n">
        <x:v>1</x:v>
      </x:c>
      <x:c r="L91" s="30" t="n">
        <x:v>1</x:v>
      </x:c>
      <x:c r="M91" s="30" t="n">
        <x:v>1</x:v>
      </x:c>
      <x:c r="N91" s="30" t="n">
        <x:v>1</x:v>
      </x:c>
      <x:c r="O91" s="30" t="n">
        <x:v>1</x:v>
      </x:c>
      <x:c r="P91" s="30" t="n">
        <x:v>1</x:v>
      </x:c>
      <x:c r="Q91" s="30" t="n">
        <x:v>1</x:v>
      </x:c>
      <x:c r="R91" s="30" t="n">
        <x:v>1</x:v>
      </x:c>
      <x:c r="S91" s="30" t="n">
        <x:v>1</x:v>
      </x:c>
      <x:c r="T91" s="30" t="n">
        <x:v>1</x:v>
      </x:c>
      <x:c r="U91" s="34" t="n">
        <x:f>AVERAGE(G91:T91)</x:f>
        <x:v>0.9285714285714286</x:v>
      </x:c>
      <x:c r="V91" s="30" t="n">
        <x:f>COUNTIF(G91:T91,"&lt;=1")</x:f>
        <x:v>14</x:v>
      </x:c>
      <x:c r="W91" s="26" t="str">
        <x:v>Insufficient authoritative public documentation</x:v>
      </x:c>
      <x:c r="X91" s="26" t="str">
        <x:v>Low</x:v>
      </x:c>
      <x:c r="Y91" s="26" t="str">
        <x:v>Desk-review score; validate with developer and user evidence</x:v>
      </x:c>
    </x:row>
    <x:row r="92" ht="44" customHeight="1">
      <x:c r="A92" s="26" t="str">
        <x:v>D2-088</x:v>
      </x:c>
      <x:c r="B92" s="26" t="str">
        <x:v>Agrilever</x:v>
      </x:c>
      <x:c r="C92" s="26" t="str">
        <x:v>Private company</x:v>
      </x:c>
      <x:c r="D92" s="26" t="str">
        <x:v>Finance, insurance &amp; payments</x:v>
      </x:c>
      <x:c r="E92" s="26" t="str">
        <x:v>Status unverified</x:v>
      </x:c>
      <x:c r="F92" s="26" t="str">
        <x:v>Low</x:v>
      </x:c>
      <x:c r="G92" s="30" t="n">
        <x:v>1</x:v>
      </x:c>
      <x:c r="H92" s="30" t="n">
        <x:v>0</x:v>
      </x:c>
      <x:c r="I92" s="30" t="n">
        <x:v>1</x:v>
      </x:c>
      <x:c r="J92" s="30" t="n">
        <x:v>1</x:v>
      </x:c>
      <x:c r="K92" s="30" t="n">
        <x:v>1</x:v>
      </x:c>
      <x:c r="L92" s="30" t="n">
        <x:v>1</x:v>
      </x:c>
      <x:c r="M92" s="30" t="n">
        <x:v>1</x:v>
      </x:c>
      <x:c r="N92" s="30" t="n">
        <x:v>1</x:v>
      </x:c>
      <x:c r="O92" s="30" t="n">
        <x:v>1</x:v>
      </x:c>
      <x:c r="P92" s="30" t="n">
        <x:v>1</x:v>
      </x:c>
      <x:c r="Q92" s="30" t="n">
        <x:v>1</x:v>
      </x:c>
      <x:c r="R92" s="30" t="n">
        <x:v>1</x:v>
      </x:c>
      <x:c r="S92" s="30" t="n">
        <x:v>1</x:v>
      </x:c>
      <x:c r="T92" s="30" t="n">
        <x:v>1</x:v>
      </x:c>
      <x:c r="U92" s="34" t="n">
        <x:f>AVERAGE(G92:T92)</x:f>
        <x:v>0.9285714285714286</x:v>
      </x:c>
      <x:c r="V92" s="30" t="n">
        <x:f>COUNTIF(G92:T92,"&lt;=1")</x:f>
        <x:v>14</x:v>
      </x:c>
      <x:c r="W92" s="26" t="str">
        <x:v>Insufficient current evidence, model clarity and outcomes</x:v>
      </x:c>
      <x:c r="X92" s="26" t="str">
        <x:v>Low</x:v>
      </x:c>
      <x:c r="Y92" s="26" t="str">
        <x:v>Desk-review score; validate with developer and user evidence</x:v>
      </x:c>
    </x:row>
    <x:row r="93" ht="44" customHeight="1">
      <x:c r="A93" s="26" t="str">
        <x:v>D2-089</x:v>
      </x:c>
      <x:c r="B93" s="26" t="str">
        <x:v>Sakahon</x:v>
      </x:c>
      <x:c r="C93" s="26" t="str">
        <x:v>Private company</x:v>
      </x:c>
      <x:c r="D93" s="26" t="str">
        <x:v>Farm management &amp; decision support</x:v>
      </x:c>
      <x:c r="E93" s="26" t="str">
        <x:v>Status unverified</x:v>
      </x:c>
      <x:c r="F93" s="26" t="str">
        <x:v>Low</x:v>
      </x:c>
      <x:c r="G93" s="30" t="n">
        <x:v>1</x:v>
      </x:c>
      <x:c r="H93" s="30" t="n">
        <x:v>0</x:v>
      </x:c>
      <x:c r="I93" s="30" t="n">
        <x:v>1</x:v>
      </x:c>
      <x:c r="J93" s="30" t="n">
        <x:v>1</x:v>
      </x:c>
      <x:c r="K93" s="30" t="n">
        <x:v>1</x:v>
      </x:c>
      <x:c r="L93" s="30" t="n">
        <x:v>1</x:v>
      </x:c>
      <x:c r="M93" s="30" t="n">
        <x:v>1</x:v>
      </x:c>
      <x:c r="N93" s="30" t="n">
        <x:v>1</x:v>
      </x:c>
      <x:c r="O93" s="30" t="n">
        <x:v>1</x:v>
      </x:c>
      <x:c r="P93" s="30" t="n">
        <x:v>1</x:v>
      </x:c>
      <x:c r="Q93" s="30" t="n">
        <x:v>1</x:v>
      </x:c>
      <x:c r="R93" s="30" t="n">
        <x:v>1</x:v>
      </x:c>
      <x:c r="S93" s="30" t="n">
        <x:v>1</x:v>
      </x:c>
      <x:c r="T93" s="30" t="n">
        <x:v>1</x:v>
      </x:c>
      <x:c r="U93" s="34" t="n">
        <x:f>AVERAGE(G93:T93)</x:f>
        <x:v>0.9285714285714286</x:v>
      </x:c>
      <x:c r="V93" s="30" t="n">
        <x:f>COUNTIF(G93:T93,"&lt;=1")</x:f>
        <x:v>14</x:v>
      </x:c>
      <x:c r="W93" s="26" t="str">
        <x:v>Insufficient documentation, users and operating-status evidence</x:v>
      </x:c>
      <x:c r="X93" s="26" t="str">
        <x:v>Low</x:v>
      </x:c>
      <x:c r="Y93" s="26" t="str">
        <x:v>Desk-review score; validate with developer and user evidence</x:v>
      </x:c>
    </x:row>
    <x:row r="94" ht="44" customHeight="1">
      <x:c r="A94" s="26" t="str">
        <x:v>D2-090</x:v>
      </x:c>
      <x:c r="B94" s="26" t="str">
        <x:v>Farm Konekt</x:v>
      </x:c>
      <x:c r="C94" s="26" t="str">
        <x:v>Private / unknown</x:v>
      </x:c>
      <x:c r="D94" s="26" t="str">
        <x:v>Markets, e-commerce &amp; logistics</x:v>
      </x:c>
      <x:c r="E94" s="26" t="str">
        <x:v>Status unverified</x:v>
      </x:c>
      <x:c r="F94" s="26" t="str">
        <x:v>Low</x:v>
      </x:c>
      <x:c r="G94" s="30" t="n">
        <x:v>1</x:v>
      </x:c>
      <x:c r="H94" s="30" t="n">
        <x:v>0</x:v>
      </x:c>
      <x:c r="I94" s="30" t="n">
        <x:v>1</x:v>
      </x:c>
      <x:c r="J94" s="30" t="n">
        <x:v>1</x:v>
      </x:c>
      <x:c r="K94" s="30" t="n">
        <x:v>1</x:v>
      </x:c>
      <x:c r="L94" s="30" t="n">
        <x:v>1</x:v>
      </x:c>
      <x:c r="M94" s="30" t="n">
        <x:v>1</x:v>
      </x:c>
      <x:c r="N94" s="30" t="n">
        <x:v>1</x:v>
      </x:c>
      <x:c r="O94" s="30" t="n">
        <x:v>1</x:v>
      </x:c>
      <x:c r="P94" s="30" t="n">
        <x:v>1</x:v>
      </x:c>
      <x:c r="Q94" s="30" t="n">
        <x:v>1</x:v>
      </x:c>
      <x:c r="R94" s="30" t="n">
        <x:v>1</x:v>
      </x:c>
      <x:c r="S94" s="30" t="n">
        <x:v>1</x:v>
      </x:c>
      <x:c r="T94" s="30" t="n">
        <x:v>1</x:v>
      </x:c>
      <x:c r="U94" s="34" t="n">
        <x:f>AVERAGE(G94:T94)</x:f>
        <x:v>0.9285714285714286</x:v>
      </x:c>
      <x:c r="V94" s="30" t="n">
        <x:f>COUNTIF(G94:T94,"&lt;=1")</x:f>
        <x:v>14</x:v>
      </x:c>
      <x:c r="W94" s="26" t="str">
        <x:v>Insufficient evidence on operation, reach and outcomes</x:v>
      </x:c>
      <x:c r="X94" s="26" t="str">
        <x:v>Low</x:v>
      </x:c>
      <x:c r="Y94" s="26" t="str">
        <x:v>Desk-review score; validate with developer and user evidence</x:v>
      </x:c>
    </x:row>
    <x:row r="95" ht="44" customHeight="1">
      <x:c r="A95" s="26" t="str">
        <x:v>D2-091</x:v>
      </x:c>
      <x:c r="B95" s="26" t="str">
        <x:v>iCarus Agri-Tech</x:v>
      </x:c>
      <x:c r="C95" s="26" t="str">
        <x:v>Private company</x:v>
      </x:c>
      <x:c r="D95" s="26" t="str">
        <x:v>Precision agriculture, EO, drones &amp; IoT</x:v>
      </x:c>
      <x:c r="E95" s="26" t="str">
        <x:v>Active / status partly verified</x:v>
      </x:c>
      <x:c r="F95" s="26" t="str">
        <x:v>Medium</x:v>
      </x:c>
      <x:c r="G95" s="30" t="n">
        <x:v>2</x:v>
      </x:c>
      <x:c r="H95" s="30" t="n">
        <x:v>0</x:v>
      </x:c>
      <x:c r="I95" s="30" t="n">
        <x:v>2</x:v>
      </x:c>
      <x:c r="J95" s="30" t="n">
        <x:v>2</x:v>
      </x:c>
      <x:c r="K95" s="30" t="n">
        <x:v>1</x:v>
      </x:c>
      <x:c r="L95" s="30" t="n">
        <x:v>1</x:v>
      </x:c>
      <x:c r="M95" s="30" t="n">
        <x:v>1</x:v>
      </x:c>
      <x:c r="N95" s="30" t="n">
        <x:v>2</x:v>
      </x:c>
      <x:c r="O95" s="30" t="n">
        <x:v>2</x:v>
      </x:c>
      <x:c r="P95" s="30" t="n">
        <x:v>1</x:v>
      </x:c>
      <x:c r="Q95" s="30" t="n">
        <x:v>1</x:v>
      </x:c>
      <x:c r="R95" s="30" t="n">
        <x:v>1</x:v>
      </x:c>
      <x:c r="S95" s="30" t="n">
        <x:v>2</x:v>
      </x:c>
      <x:c r="T95" s="30" t="n">
        <x:v>2</x:v>
      </x:c>
      <x:c r="U95" s="34" t="n">
        <x:f>AVERAGE(G95:T95)</x:f>
        <x:v>1.4285714285714286</x:v>
      </x:c>
      <x:c r="V95" s="30" t="n">
        <x:f>COUNTIF(G95:T95,"&lt;=1")</x:f>
        <x:v>7</x:v>
      </x:c>
      <x:c r="W95" s="26" t="str">
        <x:v>Limited public detail on deployments, pricing, APIs and outcomes</x:v>
      </x:c>
      <x:c r="X95" s="26" t="str">
        <x:v>Medium</x:v>
      </x:c>
      <x:c r="Y95" s="26" t="str">
        <x:v>Desk-review score; validate with developer and user evidence</x:v>
      </x:c>
    </x:row>
    <x:row r="96" ht="44" customHeight="1">
      <x:c r="A96" s="26" t="str">
        <x:v>D2-092</x:v>
      </x:c>
      <x:c r="B96" s="26" t="str">
        <x:v>Facebook Marketplace for Agri-products</x:v>
      </x:c>
      <x:c r="C96" s="26" t="str">
        <x:v>General platform / government program</x:v>
      </x:c>
      <x:c r="D96" s="26" t="str">
        <x:v>Markets, e-commerce &amp; logistics</x:v>
      </x:c>
      <x:c r="E96" s="26" t="str">
        <x:v>Active / operational</x:v>
      </x:c>
      <x:c r="F96" s="26" t="str">
        <x:v>High</x:v>
      </x:c>
      <x:c r="G96" s="30" t="n">
        <x:v>3</x:v>
      </x:c>
      <x:c r="H96" s="30" t="n">
        <x:v>2</x:v>
      </x:c>
      <x:c r="I96" s="30" t="n">
        <x:v>2</x:v>
      </x:c>
      <x:c r="J96" s="30" t="n">
        <x:v>2</x:v>
      </x:c>
      <x:c r="K96" s="30" t="n">
        <x:v>1</x:v>
      </x:c>
      <x:c r="L96" s="30" t="n">
        <x:v>2</x:v>
      </x:c>
      <x:c r="M96" s="30" t="n">
        <x:v>2</x:v>
      </x:c>
      <x:c r="N96" s="30" t="n">
        <x:v>3</x:v>
      </x:c>
      <x:c r="O96" s="30" t="n">
        <x:v>3</x:v>
      </x:c>
      <x:c r="P96" s="30" t="n">
        <x:v>2</x:v>
      </x:c>
      <x:c r="Q96" s="30" t="n">
        <x:v>1</x:v>
      </x:c>
      <x:c r="R96" s="30" t="n">
        <x:v>1</x:v>
      </x:c>
      <x:c r="S96" s="30" t="n">
        <x:v>3</x:v>
      </x:c>
      <x:c r="T96" s="30" t="n">
        <x:v>2</x:v>
      </x:c>
      <x:c r="U96" s="34" t="n">
        <x:f>AVERAGE(G96:T96)</x:f>
        <x:v>2.0714285714285716</x:v>
      </x:c>
      <x:c r="V96" s="30" t="n">
        <x:f>COUNTIF(G96:T96,"&lt;=1")</x:f>
        <x:v>3</x:v>
      </x:c>
      <x:c r="W96" s="26" t="str">
        <x:v>Discoverability, fees, quality risks and weak farmer-specific support</x:v>
      </x:c>
      <x:c r="X96" s="26" t="str">
        <x:v>Low</x:v>
      </x:c>
      <x:c r="Y96" s="26" t="str">
        <x:v>Desk-review score; validate with developer and user evidence</x:v>
      </x:c>
    </x:row>
    <x:row r="97" ht="44" customHeight="1">
      <x:c r="A97" s="26" t="str">
        <x:v>D2-093</x:v>
      </x:c>
      <x:c r="B97" s="26" t="str">
        <x:v>Lazada Agriculture and Farm-supply Channels</x:v>
      </x:c>
      <x:c r="C97" s="26" t="str">
        <x:v>General platform / government program</x:v>
      </x:c>
      <x:c r="D97" s="26" t="str">
        <x:v>Markets, e-commerce &amp; logistics</x:v>
      </x:c>
      <x:c r="E97" s="26" t="str">
        <x:v>Active / operational</x:v>
      </x:c>
      <x:c r="F97" s="26" t="str">
        <x:v>High</x:v>
      </x:c>
      <x:c r="G97" s="30" t="n">
        <x:v>3</x:v>
      </x:c>
      <x:c r="H97" s="30" t="n">
        <x:v>2</x:v>
      </x:c>
      <x:c r="I97" s="30" t="n">
        <x:v>2</x:v>
      </x:c>
      <x:c r="J97" s="30" t="n">
        <x:v>2</x:v>
      </x:c>
      <x:c r="K97" s="30" t="n">
        <x:v>1</x:v>
      </x:c>
      <x:c r="L97" s="30" t="n">
        <x:v>2</x:v>
      </x:c>
      <x:c r="M97" s="30" t="n">
        <x:v>2</x:v>
      </x:c>
      <x:c r="N97" s="30" t="n">
        <x:v>3</x:v>
      </x:c>
      <x:c r="O97" s="30" t="n">
        <x:v>3</x:v>
      </x:c>
      <x:c r="P97" s="30" t="n">
        <x:v>2</x:v>
      </x:c>
      <x:c r="Q97" s="30" t="n">
        <x:v>1</x:v>
      </x:c>
      <x:c r="R97" s="30" t="n">
        <x:v>1</x:v>
      </x:c>
      <x:c r="S97" s="30" t="n">
        <x:v>3</x:v>
      </x:c>
      <x:c r="T97" s="30" t="n">
        <x:v>2</x:v>
      </x:c>
      <x:c r="U97" s="34" t="n">
        <x:f>AVERAGE(G97:T97)</x:f>
        <x:v>2.0714285714285716</x:v>
      </x:c>
      <x:c r="V97" s="30" t="n">
        <x:f>COUNTIF(G97:T97,"&lt;=1")</x:f>
        <x:v>3</x:v>
      </x:c>
      <x:c r="W97" s="26" t="str">
        <x:v>Discoverability, fees, quality risks and weak farmer-specific support</x:v>
      </x:c>
      <x:c r="X97" s="26" t="str">
        <x:v>Low</x:v>
      </x:c>
      <x:c r="Y97" s="26" t="str">
        <x:v>Desk-review score; validate with developer and user evidence</x:v>
      </x:c>
    </x:row>
    <x:row r="98" ht="44" customHeight="1">
      <x:c r="A98" s="26" t="str">
        <x:v>D2-094</x:v>
      </x:c>
      <x:c r="B98" s="26" t="str">
        <x:v>Shopee Agriculture and Farm-supply Channels</x:v>
      </x:c>
      <x:c r="C98" s="26" t="str">
        <x:v>General platform / government program</x:v>
      </x:c>
      <x:c r="D98" s="26" t="str">
        <x:v>Markets, e-commerce &amp; logistics</x:v>
      </x:c>
      <x:c r="E98" s="26" t="str">
        <x:v>Active / operational</x:v>
      </x:c>
      <x:c r="F98" s="26" t="str">
        <x:v>High</x:v>
      </x:c>
      <x:c r="G98" s="30" t="n">
        <x:v>3</x:v>
      </x:c>
      <x:c r="H98" s="30" t="n">
        <x:v>2</x:v>
      </x:c>
      <x:c r="I98" s="30" t="n">
        <x:v>2</x:v>
      </x:c>
      <x:c r="J98" s="30" t="n">
        <x:v>2</x:v>
      </x:c>
      <x:c r="K98" s="30" t="n">
        <x:v>1</x:v>
      </x:c>
      <x:c r="L98" s="30" t="n">
        <x:v>2</x:v>
      </x:c>
      <x:c r="M98" s="30" t="n">
        <x:v>2</x:v>
      </x:c>
      <x:c r="N98" s="30" t="n">
        <x:v>3</x:v>
      </x:c>
      <x:c r="O98" s="30" t="n">
        <x:v>3</x:v>
      </x:c>
      <x:c r="P98" s="30" t="n">
        <x:v>2</x:v>
      </x:c>
      <x:c r="Q98" s="30" t="n">
        <x:v>1</x:v>
      </x:c>
      <x:c r="R98" s="30" t="n">
        <x:v>1</x:v>
      </x:c>
      <x:c r="S98" s="30" t="n">
        <x:v>3</x:v>
      </x:c>
      <x:c r="T98" s="30" t="n">
        <x:v>2</x:v>
      </x:c>
      <x:c r="U98" s="34" t="n">
        <x:f>AVERAGE(G98:T98)</x:f>
        <x:v>2.0714285714285716</x:v>
      </x:c>
      <x:c r="V98" s="30" t="n">
        <x:f>COUNTIF(G98:T98,"&lt;=1")</x:f>
        <x:v>3</x:v>
      </x:c>
      <x:c r="W98" s="26" t="str">
        <x:v>Discoverability, fees, quality risks and weak farmer-specific support</x:v>
      </x:c>
      <x:c r="X98" s="26" t="str">
        <x:v>Low</x:v>
      </x:c>
      <x:c r="Y98" s="26" t="str">
        <x:v>Desk-review score; validate with developer and user evidence</x:v>
      </x:c>
    </x:row>
    <x:row r="99" ht="44" customHeight="1">
      <x:c r="A99" s="26" t="str">
        <x:v>D2-095</x:v>
      </x:c>
      <x:c r="B99" s="26" t="str">
        <x:v>Go Lokal! Digital Market Channels</x:v>
      </x:c>
      <x:c r="C99" s="26" t="str">
        <x:v>General platform / government program</x:v>
      </x:c>
      <x:c r="D99" s="26" t="str">
        <x:v>Markets, e-commerce &amp; logistics</x:v>
      </x:c>
      <x:c r="E99" s="26" t="str">
        <x:v>Active / operational</x:v>
      </x:c>
      <x:c r="F99" s="26" t="str">
        <x:v>High</x:v>
      </x:c>
      <x:c r="G99" s="30" t="n">
        <x:v>3</x:v>
      </x:c>
      <x:c r="H99" s="30" t="n">
        <x:v>2</x:v>
      </x:c>
      <x:c r="I99" s="30" t="n">
        <x:v>2</x:v>
      </x:c>
      <x:c r="J99" s="30" t="n">
        <x:v>2</x:v>
      </x:c>
      <x:c r="K99" s="30" t="n">
        <x:v>1</x:v>
      </x:c>
      <x:c r="L99" s="30" t="n">
        <x:v>2</x:v>
      </x:c>
      <x:c r="M99" s="30" t="n">
        <x:v>2</x:v>
      </x:c>
      <x:c r="N99" s="30" t="n">
        <x:v>3</x:v>
      </x:c>
      <x:c r="O99" s="30" t="n">
        <x:v>3</x:v>
      </x:c>
      <x:c r="P99" s="30" t="n">
        <x:v>2</x:v>
      </x:c>
      <x:c r="Q99" s="30" t="n">
        <x:v>1</x:v>
      </x:c>
      <x:c r="R99" s="30" t="n">
        <x:v>1</x:v>
      </x:c>
      <x:c r="S99" s="30" t="n">
        <x:v>3</x:v>
      </x:c>
      <x:c r="T99" s="30" t="n">
        <x:v>2</x:v>
      </x:c>
      <x:c r="U99" s="34" t="n">
        <x:f>AVERAGE(G99:T99)</x:f>
        <x:v>2.0714285714285716</x:v>
      </x:c>
      <x:c r="V99" s="30" t="n">
        <x:f>COUNTIF(G99:T99,"&lt;=1")</x:f>
        <x:v>3</x:v>
      </x:c>
      <x:c r="W99" s="26" t="str">
        <x:v>Discoverability, fees, quality risks and weak farmer-specific support</x:v>
      </x:c>
      <x:c r="X99" s="26" t="str">
        <x:v>Low</x:v>
      </x:c>
      <x:c r="Y99" s="26" t="str">
        <x:v>Desk-review score; validate with developer and user evidence</x:v>
      </x:c>
    </x:row>
    <x:row r="100" ht="44" customHeight="1">
      <x:c r="A100" s="26" t="str">
        <x:v>D2-096</x:v>
      </x:c>
      <x:c r="B100" s="26" t="str">
        <x:v>Global Market Intelligence Platform</x:v>
      </x:c>
      <x:c r="C100" s="26" t="str">
        <x:v>International research partnership</x:v>
      </x:c>
      <x:c r="D100" s="26" t="str">
        <x:v>Markets, e-commerce &amp; logistics</x:v>
      </x:c>
      <x:c r="E100" s="26" t="str">
        <x:v>Active / operational</x:v>
      </x:c>
      <x:c r="F100" s="26" t="str">
        <x:v>High</x:v>
      </x:c>
      <x:c r="G100" s="30" t="n">
        <x:v>2</x:v>
      </x:c>
      <x:c r="H100" s="30" t="n">
        <x:v>2</x:v>
      </x:c>
      <x:c r="I100" s="30" t="n">
        <x:v>1</x:v>
      </x:c>
      <x:c r="J100" s="30" t="n">
        <x:v>1</x:v>
      </x:c>
      <x:c r="K100" s="30" t="n">
        <x:v>1</x:v>
      </x:c>
      <x:c r="L100" s="30" t="n">
        <x:v>3</x:v>
      </x:c>
      <x:c r="M100" s="30" t="n">
        <x:v>1</x:v>
      </x:c>
      <x:c r="N100" s="30" t="n">
        <x:v>2</x:v>
      </x:c>
      <x:c r="O100" s="30" t="n">
        <x:v>3</x:v>
      </x:c>
      <x:c r="P100" s="30" t="n">
        <x:v>1</x:v>
      </x:c>
      <x:c r="Q100" s="30" t="n">
        <x:v>1</x:v>
      </x:c>
      <x:c r="R100" s="30" t="n">
        <x:v>1</x:v>
      </x:c>
      <x:c r="S100" s="30" t="n">
        <x:v>2</x:v>
      </x:c>
      <x:c r="T100" s="30" t="n">
        <x:v>2</x:v>
      </x:c>
      <x:c r="U100" s="34" t="n">
        <x:f>AVERAGE(G100:T100)</x:f>
        <x:v>1.6428571428571428</x:v>
      </x:c>
      <x:c r="V100" s="30" t="n">
        <x:f>COUNTIF(G100:T100,"&lt;=1")</x:f>
        <x:v>7</x:v>
      </x:c>
      <x:c r="W100" s="26" t="str">
        <x:v>Local granularity, usability, timeliness and translation to farm decisions</x:v>
      </x:c>
      <x:c r="X100" s="26" t="str">
        <x:v>Medium</x:v>
      </x:c>
      <x:c r="Y100" s="26" t="str">
        <x:v>Desk-review score; validate with developer and user evidence</x:v>
      </x:c>
    </x:row>
    <x:row r="101" ht="44" customHeight="1">
      <x:c r="A101" s="26" t="str">
        <x:v>D2-097</x:v>
      </x:c>
      <x:c r="B101" s="26" t="str">
        <x:v>eDECIDE Data Analysis and API Platform</x:v>
      </x:c>
      <x:c r="C101" s="26" t="str">
        <x:v>National research institute</x:v>
      </x:c>
      <x:c r="D101" s="26" t="str">
        <x:v>Data infrastructure, interoperability &amp; dashboards</x:v>
      </x:c>
      <x:c r="E101" s="26" t="str">
        <x:v>Project ongoing</x:v>
      </x:c>
      <x:c r="F101" s="26" t="str">
        <x:v>High</x:v>
      </x:c>
      <x:c r="G101" s="30" t="n">
        <x:v>1</x:v>
      </x:c>
      <x:c r="H101" s="30" t="n">
        <x:v>1</x:v>
      </x:c>
      <x:c r="I101" s="30" t="n">
        <x:v>1</x:v>
      </x:c>
      <x:c r="J101" s="30" t="n">
        <x:v>1</x:v>
      </x:c>
      <x:c r="K101" s="30" t="n">
        <x:v>1</x:v>
      </x:c>
      <x:c r="L101" s="30" t="n">
        <x:v>2</x:v>
      </x:c>
      <x:c r="M101" s="30" t="n">
        <x:v>2</x:v>
      </x:c>
      <x:c r="N101" s="30" t="n">
        <x:v>2</x:v>
      </x:c>
      <x:c r="O101" s="30" t="n">
        <x:v>2</x:v>
      </x:c>
      <x:c r="P101" s="30" t="n">
        <x:v>1</x:v>
      </x:c>
      <x:c r="Q101" s="30" t="n">
        <x:v>2</x:v>
      </x:c>
      <x:c r="R101" s="30" t="n">
        <x:v>1</x:v>
      </x:c>
      <x:c r="S101" s="30" t="n">
        <x:v>1</x:v>
      </x:c>
      <x:c r="T101" s="30" t="n">
        <x:v>2</x:v>
      </x:c>
      <x:c r="U101" s="34" t="n">
        <x:f>AVERAGE(G101:T101)</x:f>
        <x:v>1.4285714285714286</x:v>
      </x:c>
      <x:c r="V101" s="30" t="n">
        <x:f>COUNTIF(G101:T101,"&lt;=1")</x:f>
        <x:v>8</x:v>
      </x:c>
      <x:c r="W101" s="26" t="str">
        <x:v>Cross-agency governance, standards, security and sustained ownership</x:v>
      </x:c>
      <x:c r="X101" s="26" t="str">
        <x:v>Medium</x:v>
      </x:c>
      <x:c r="Y101" s="26" t="str">
        <x:v>Desk-review score; validate with developer and user evidence</x:v>
      </x:c>
    </x:row>
    <x:row r="102" ht="44" customHeight="1">
      <x:c r="A102" s="26" t="str">
        <x:v>D2-098</x:v>
      </x:c>
      <x:c r="B102" s="26" t="str">
        <x:v>BlockSTART National Blockchain Infrastructure Feasibility Study</x:v>
      </x:c>
      <x:c r="C102" s="26" t="str">
        <x:v>National research institute</x:v>
      </x:c>
      <x:c r="D102" s="26" t="str">
        <x:v>Data infrastructure, interoperability &amp; dashboards</x:v>
      </x:c>
      <x:c r="E102" s="26" t="str">
        <x:v>Project completed / next phase unverified</x:v>
      </x:c>
      <x:c r="F102" s="26" t="str">
        <x:v>High</x:v>
      </x:c>
      <x:c r="G102" s="30" t="n">
        <x:v>1</x:v>
      </x:c>
      <x:c r="H102" s="30" t="n">
        <x:v>0</x:v>
      </x:c>
      <x:c r="I102" s="30" t="n">
        <x:v>1</x:v>
      </x:c>
      <x:c r="J102" s="30" t="n">
        <x:v>1</x:v>
      </x:c>
      <x:c r="K102" s="30" t="n">
        <x:v>1</x:v>
      </x:c>
      <x:c r="L102" s="30" t="n">
        <x:v>2</x:v>
      </x:c>
      <x:c r="M102" s="30" t="n">
        <x:v>1</x:v>
      </x:c>
      <x:c r="N102" s="30" t="n">
        <x:v>2</x:v>
      </x:c>
      <x:c r="O102" s="30" t="n">
        <x:v>2</x:v>
      </x:c>
      <x:c r="P102" s="30" t="n">
        <x:v>1</x:v>
      </x:c>
      <x:c r="Q102" s="30" t="n">
        <x:v>1</x:v>
      </x:c>
      <x:c r="R102" s="30" t="n">
        <x:v>2</x:v>
      </x:c>
      <x:c r="S102" s="30" t="n">
        <x:v>1</x:v>
      </x:c>
      <x:c r="T102" s="30" t="n">
        <x:v>2</x:v>
      </x:c>
      <x:c r="U102" s="34" t="n">
        <x:f>AVERAGE(G102:T102)</x:f>
        <x:v>1.2857142857142858</x:v>
      </x:c>
      <x:c r="V102" s="30" t="n">
        <x:f>COUNTIF(G102:T102,"&lt;=1")</x:f>
        <x:v>9</x:v>
      </x:c>
      <x:c r="W102" s="26" t="str">
        <x:v>Technology-first adoption, unclear use cases, privacy, cost and sustainability</x:v>
      </x:c>
      <x:c r="X102" s="26" t="str">
        <x:v>Low</x:v>
      </x:c>
      <x:c r="Y102" s="26" t="str">
        <x:v>Desk-review score; validate with developer and user evidence</x:v>
      </x:c>
    </x:row>
    <x:row r="103" ht="44" customHeight="1">
      <x:c r="A103" s="26" t="str">
        <x:v>D2-099</x:v>
      </x:c>
      <x:c r="B103" s="26" t="str">
        <x:v>DigiSaka Digital Agriculture System</x:v>
      </x:c>
      <x:c r="C103" s="26" t="str">
        <x:v>Private–nonprofit partnership</x:v>
      </x:c>
      <x:c r="D103" s="26" t="str">
        <x:v>Farm management &amp; decision support</x:v>
      </x:c>
      <x:c r="E103" s="26" t="str">
        <x:v>Project ongoing</x:v>
      </x:c>
      <x:c r="F103" s="26" t="str">
        <x:v>Medium</x:v>
      </x:c>
      <x:c r="G103" s="30" t="n">
        <x:v>1</x:v>
      </x:c>
      <x:c r="H103" s="30" t="n">
        <x:v>1</x:v>
      </x:c>
      <x:c r="I103" s="30" t="n">
        <x:v>1</x:v>
      </x:c>
      <x:c r="J103" s="30" t="n">
        <x:v>1</x:v>
      </x:c>
      <x:c r="K103" s="30" t="n">
        <x:v>1</x:v>
      </x:c>
      <x:c r="L103" s="30" t="n">
        <x:v>3</x:v>
      </x:c>
      <x:c r="M103" s="30" t="n">
        <x:v>1</x:v>
      </x:c>
      <x:c r="N103" s="30" t="n">
        <x:v>2</x:v>
      </x:c>
      <x:c r="O103" s="30" t="n">
        <x:v>2</x:v>
      </x:c>
      <x:c r="P103" s="30" t="n">
        <x:v>1</x:v>
      </x:c>
      <x:c r="Q103" s="30" t="n">
        <x:v>2</x:v>
      </x:c>
      <x:c r="R103" s="30" t="n">
        <x:v>2</x:v>
      </x:c>
      <x:c r="S103" s="30" t="n">
        <x:v>1</x:v>
      </x:c>
      <x:c r="T103" s="30" t="n">
        <x:v>3</x:v>
      </x:c>
      <x:c r="U103" s="34" t="n">
        <x:f>AVERAGE(G103:T103)</x:f>
        <x:v>1.5714285714285714</x:v>
      </x:c>
      <x:c r="V103" s="30" t="n">
        <x:f>COUNTIF(G103:T103,"&lt;=1")</x:f>
        <x:v>8</x:v>
      </x:c>
      <x:c r="W103" s="26" t="str">
        <x:v>Proving sustained adoption, avoiding over-complexity, partner governance and common standards</x:v>
      </x:c>
      <x:c r="X103" s="26" t="str">
        <x:v>High</x:v>
      </x:c>
      <x:c r="Y103" s="26" t="str">
        <x:v>Desk-review score; validate with developer and user evidence</x:v>
      </x:c>
    </x:row>
    <x:row r="104" ht="44" customHeight="1">
      <x:c r="A104" s="26" t="str">
        <x:v>D2-100</x:v>
      </x:c>
      <x:c r="B104" s="26" t="str">
        <x:v>Smarter and Innovative Agriculture Virtual Hub</x:v>
      </x:c>
      <x:c r="C104" s="26" t="str">
        <x:v>Regional government / national-scale ambition</x:v>
      </x:c>
      <x:c r="D104" s="26" t="str">
        <x:v>Data infrastructure, interoperability &amp; dashboards</x:v>
      </x:c>
      <x:c r="E104" s="26" t="str">
        <x:v>Project ongoing / planning</x:v>
      </x:c>
      <x:c r="F104" s="26" t="str">
        <x:v>Medium</x:v>
      </x:c>
      <x:c r="G104" s="30" t="n">
        <x:v>1</x:v>
      </x:c>
      <x:c r="H104" s="30" t="n">
        <x:v>1</x:v>
      </x:c>
      <x:c r="I104" s="30" t="n">
        <x:v>1</x:v>
      </x:c>
      <x:c r="J104" s="30" t="n">
        <x:v>1</x:v>
      </x:c>
      <x:c r="K104" s="30" t="n">
        <x:v>1</x:v>
      </x:c>
      <x:c r="L104" s="30" t="n">
        <x:v>2</x:v>
      </x:c>
      <x:c r="M104" s="30" t="n">
        <x:v>1</x:v>
      </x:c>
      <x:c r="N104" s="30" t="n">
        <x:v>2</x:v>
      </x:c>
      <x:c r="O104" s="30" t="n">
        <x:v>2</x:v>
      </x:c>
      <x:c r="P104" s="30" t="n">
        <x:v>2</x:v>
      </x:c>
      <x:c r="Q104" s="30" t="n">
        <x:v>2</x:v>
      </x:c>
      <x:c r="R104" s="30" t="n">
        <x:v>2</x:v>
      </x:c>
      <x:c r="S104" s="30" t="n">
        <x:v>1</x:v>
      </x:c>
      <x:c r="T104" s="30" t="n">
        <x:v>2</x:v>
      </x:c>
      <x:c r="U104" s="34" t="n">
        <x:f>AVERAGE(G104:T104)</x:f>
        <x:v>1.5</x:v>
      </x:c>
      <x:c r="V104" s="30" t="n">
        <x:f>COUNTIF(G104:T104,"&lt;=1")</x:f>
        <x:v>7</x:v>
      </x:c>
      <x:c r="W104" s="26" t="str">
        <x:v>Avoiding another static portal, unclear mandate, duplicate systems, maintenance and governance</x:v>
      </x:c>
      <x:c r="X104" s="26" t="str">
        <x:v>High</x:v>
      </x:c>
      <x:c r="Y104" s="26" t="str">
        <x:v>Desk-review score; validate with developer and user evidence</x:v>
      </x:c>
    </x:row>
    <x:row r="105" ht="44" customHeight="1">
      <x:c r="A105" s="26" t="str">
        <x:v>D2-101</x:v>
      </x:c>
      <x:c r="B105" s="26" t="str">
        <x:v>Integrated Farm Attribution for Risk and Resource Monitoring and Management</x:v>
      </x:c>
      <x:c r="C105" s="26" t="str">
        <x:v>National–regional government partnership</x:v>
      </x:c>
      <x:c r="D105" s="26" t="str">
        <x:v>Farm management &amp; decision support</x:v>
      </x:c>
      <x:c r="E105" s="26" t="str">
        <x:v>Active / expanding</x:v>
      </x:c>
      <x:c r="F105" s="26" t="str">
        <x:v>High</x:v>
      </x:c>
      <x:c r="G105" s="30" t="n">
        <x:v>2</x:v>
      </x:c>
      <x:c r="H105" s="30" t="n">
        <x:v>2</x:v>
      </x:c>
      <x:c r="I105" s="30" t="n">
        <x:v>1</x:v>
      </x:c>
      <x:c r="J105" s="30" t="n">
        <x:v>1</x:v>
      </x:c>
      <x:c r="K105" s="30" t="n">
        <x:v>3</x:v>
      </x:c>
      <x:c r="L105" s="30" t="n">
        <x:v>3</x:v>
      </x:c>
      <x:c r="M105" s="30" t="n">
        <x:v>2</x:v>
      </x:c>
      <x:c r="N105" s="30" t="n">
        <x:v>2</x:v>
      </x:c>
      <x:c r="O105" s="30" t="n">
        <x:v>2</x:v>
      </x:c>
      <x:c r="P105" s="30" t="n">
        <x:v>2</x:v>
      </x:c>
      <x:c r="Q105" s="30" t="n">
        <x:v>2</x:v>
      </x:c>
      <x:c r="R105" s="30" t="n">
        <x:v>1</x:v>
      </x:c>
      <x:c r="S105" s="30" t="n">
        <x:v>2</x:v>
      </x:c>
      <x:c r="T105" s="30" t="n">
        <x:v>2</x:v>
      </x:c>
      <x:c r="U105" s="34" t="n">
        <x:f>AVERAGE(G105:T105)</x:f>
        <x:v>1.9285714285714286</x:v>
      </x:c>
      <x:c r="V105" s="30" t="n">
        <x:f>COUNTIF(G105:T105,"&lt;=1")</x:f>
        <x:v>3</x:v>
      </x:c>
      <x:c r="W105" s="26" t="str">
        <x:v>Regular updates, LGU/AEO incentives, national data standards, identity matching and sustained ownership</x:v>
      </x:c>
      <x:c r="X105" s="26" t="str">
        <x:v>High</x:v>
      </x:c>
      <x:c r="Y105" s="26" t="str">
        <x:v>Desk-review score; validate with developers, users and operational evidence</x:v>
      </x:c>
    </x:row>
    <x:row r="106" ht="44" customHeight="1">
      <x:c r="A106" s="26" t="str">
        <x:v>D2-102</x:v>
      </x:c>
      <x:c r="B106" s="26" t="str">
        <x:v>Automated Water Level Monitoring System Philippines</x:v>
      </x:c>
      <x:c r="C106" s="26" t="str">
        <x:v>Government–international research partnership</x:v>
      </x:c>
      <x:c r="D106" s="26" t="str">
        <x:v>Precision agriculture, EO, drones &amp; IoT</x:v>
      </x:c>
      <x:c r="E106" s="26" t="str">
        <x:v>Active / operational</x:v>
      </x:c>
      <x:c r="F106" s="26" t="str">
        <x:v>High</x:v>
      </x:c>
      <x:c r="G106" s="30" t="n">
        <x:v>2</x:v>
      </x:c>
      <x:c r="H106" s="30" t="n">
        <x:v>2</x:v>
      </x:c>
      <x:c r="I106" s="30" t="n">
        <x:v>2</x:v>
      </x:c>
      <x:c r="J106" s="30" t="n">
        <x:v>2</x:v>
      </x:c>
      <x:c r="K106" s="30" t="n">
        <x:v>1</x:v>
      </x:c>
      <x:c r="L106" s="30" t="n">
        <x:v>3</x:v>
      </x:c>
      <x:c r="M106" s="30" t="n">
        <x:v>1</x:v>
      </x:c>
      <x:c r="N106" s="30" t="n">
        <x:v>2</x:v>
      </x:c>
      <x:c r="O106" s="30" t="n">
        <x:v>2</x:v>
      </x:c>
      <x:c r="P106" s="30" t="n">
        <x:v>2</x:v>
      </x:c>
      <x:c r="Q106" s="30" t="n">
        <x:v>2</x:v>
      </x:c>
      <x:c r="R106" s="30" t="n">
        <x:v>1</x:v>
      </x:c>
      <x:c r="S106" s="30" t="n">
        <x:v>2</x:v>
      </x:c>
      <x:c r="T106" s="30" t="n">
        <x:v>2</x:v>
      </x:c>
      <x:c r="U106" s="34" t="n">
        <x:f>AVERAGE(G106:T106)</x:f>
        <x:v>1.8571428571428572</x:v>
      </x:c>
      <x:c r="V106" s="30" t="n">
        <x:f>COUNTIF(G106:T106,"&lt;=1")</x:f>
        <x:v>3</x:v>
      </x:c>
      <x:c r="W106" s="26" t="str">
        <x:v>Sensor maintenance, connectivity, calibration, costs, data ownership and integration with irrigation operations</x:v>
      </x:c>
      <x:c r="X106" s="26" t="str">
        <x:v>High</x:v>
      </x:c>
      <x:c r="Y106" s="26" t="str">
        <x:v>Desk-review score; validate with developers, users and operational evidence</x:v>
      </x:c>
    </x:row>
    <x:row r="107" ht="44" customHeight="1">
      <x:c r="A107" s="26" t="str">
        <x:v>D2-103</x:v>
      </x:c>
      <x:c r="B107" s="26" t="str">
        <x:v>Rice Seed Information System</x:v>
      </x:c>
      <x:c r="C107" s="26" t="str">
        <x:v>National government partnership</x:v>
      </x:c>
      <x:c r="D107" s="26" t="str">
        <x:v>Inputs, seed &amp; nutrient tools</x:v>
      </x:c>
      <x:c r="E107" s="26" t="str">
        <x:v>Active / operational</x:v>
      </x:c>
      <x:c r="F107" s="26" t="str">
        <x:v>High</x:v>
      </x:c>
      <x:c r="G107" s="30" t="n">
        <x:v>3</x:v>
      </x:c>
      <x:c r="H107" s="30" t="n">
        <x:v>2</x:v>
      </x:c>
      <x:c r="I107" s="30" t="n">
        <x:v>2</x:v>
      </x:c>
      <x:c r="J107" s="30" t="n">
        <x:v>2</x:v>
      </x:c>
      <x:c r="K107" s="30" t="n">
        <x:v>1</x:v>
      </x:c>
      <x:c r="L107" s="30" t="n">
        <x:v>3</x:v>
      </x:c>
      <x:c r="M107" s="30" t="n">
        <x:v>2</x:v>
      </x:c>
      <x:c r="N107" s="30" t="n">
        <x:v>3</x:v>
      </x:c>
      <x:c r="O107" s="30" t="n">
        <x:v>3</x:v>
      </x:c>
      <x:c r="P107" s="30" t="n">
        <x:v>3</x:v>
      </x:c>
      <x:c r="Q107" s="30" t="n">
        <x:v>2</x:v>
      </x:c>
      <x:c r="R107" s="30" t="n">
        <x:v>1</x:v>
      </x:c>
      <x:c r="S107" s="30" t="n">
        <x:v>3</x:v>
      </x:c>
      <x:c r="T107" s="30" t="n">
        <x:v>2</x:v>
      </x:c>
      <x:c r="U107" s="34" t="n">
        <x:f>AVERAGE(G107:T107)</x:f>
        <x:v>2.2857142857142856</x:v>
      </x:c>
      <x:c r="V107" s="30" t="n">
        <x:f>COUNTIF(G107:T107,"&lt;=1")</x:f>
        <x:v>2</x:v>
      </x:c>
      <x:c r="W107" s="26" t="str">
        <x:v>Cross-agency master data, user support, data quality, rural connectivity and public interface consistency</x:v>
      </x:c>
      <x:c r="X107" s="26" t="str">
        <x:v>High</x:v>
      </x:c>
      <x:c r="Y107" s="26" t="str">
        <x:v>Desk-review score; validate with developers, users and operational evidence</x:v>
      </x:c>
    </x:row>
    <x:row r="108" ht="44" customHeight="1">
      <x:c r="A108" s="26" t="str">
        <x:v>D2-104</x:v>
      </x:c>
      <x:c r="B108" s="26" t="str">
        <x:v>RSIS GrowApp / Application for Seed Certification</x:v>
      </x:c>
      <x:c r="C108" s="26" t="str">
        <x:v>National government partnership</x:v>
      </x:c>
      <x:c r="D108" s="26" t="str">
        <x:v>Inputs, seed &amp; nutrient tools</x:v>
      </x:c>
      <x:c r="E108" s="26" t="str">
        <x:v>Active / operational</x:v>
      </x:c>
      <x:c r="F108" s="26" t="str">
        <x:v>High</x:v>
      </x:c>
      <x:c r="G108" s="30" t="n">
        <x:v>2</x:v>
      </x:c>
      <x:c r="H108" s="30" t="n">
        <x:v>2</x:v>
      </x:c>
      <x:c r="I108" s="30" t="n">
        <x:v>1</x:v>
      </x:c>
      <x:c r="J108" s="30" t="n">
        <x:v>1</x:v>
      </x:c>
      <x:c r="K108" s="30" t="n">
        <x:v>1</x:v>
      </x:c>
      <x:c r="L108" s="30" t="n">
        <x:v>3</x:v>
      </x:c>
      <x:c r="M108" s="30" t="n">
        <x:v>2</x:v>
      </x:c>
      <x:c r="N108" s="30" t="n">
        <x:v>2</x:v>
      </x:c>
      <x:c r="O108" s="30" t="n">
        <x:v>3</x:v>
      </x:c>
      <x:c r="P108" s="30" t="n">
        <x:v>3</x:v>
      </x:c>
      <x:c r="Q108" s="30" t="n">
        <x:v>2</x:v>
      </x:c>
      <x:c r="R108" s="30" t="n">
        <x:v>1</x:v>
      </x:c>
      <x:c r="S108" s="30" t="n">
        <x:v>2</x:v>
      </x:c>
      <x:c r="T108" s="30" t="n">
        <x:v>3</x:v>
      </x:c>
      <x:c r="U108" s="34" t="n">
        <x:f>AVERAGE(G108:T108)</x:f>
        <x:v>2</x:v>
      </x:c>
      <x:c r="V108" s="30" t="n">
        <x:f>COUNTIF(G108:T108,"&lt;=1")</x:f>
        <x:v>4</x:v>
      </x:c>
      <x:c r="W108" s="26" t="str">
        <x:v>Version management, device support, offline synchronization and duplicate encoding</x:v>
      </x:c>
      <x:c r="X108" s="26" t="str">
        <x:v>High</x:v>
      </x:c>
      <x:c r="Y108" s="26" t="str">
        <x:v>Desk-review score; validate with developers, users and operational evidence</x:v>
      </x:c>
    </x:row>
    <x:row r="109" ht="44" customHeight="1">
      <x:c r="A109" s="26" t="str">
        <x:v>D2-105</x:v>
      </x:c>
      <x:c r="B109" s="26" t="str">
        <x:v>RSIS Seed Inspector Application</x:v>
      </x:c>
      <x:c r="C109" s="26" t="str">
        <x:v>National government partnership</x:v>
      </x:c>
      <x:c r="D109" s="26" t="str">
        <x:v>Inputs, seed &amp; nutrient tools</x:v>
      </x:c>
      <x:c r="E109" s="26" t="str">
        <x:v>Active / operational</x:v>
      </x:c>
      <x:c r="F109" s="26" t="str">
        <x:v>High</x:v>
      </x:c>
      <x:c r="G109" s="30" t="n">
        <x:v>2</x:v>
      </x:c>
      <x:c r="H109" s="30" t="n">
        <x:v>2</x:v>
      </x:c>
      <x:c r="I109" s="30" t="n">
        <x:v>1</x:v>
      </x:c>
      <x:c r="J109" s="30" t="n">
        <x:v>1</x:v>
      </x:c>
      <x:c r="K109" s="30" t="n">
        <x:v>1</x:v>
      </x:c>
      <x:c r="L109" s="30" t="n">
        <x:v>3</x:v>
      </x:c>
      <x:c r="M109" s="30" t="n">
        <x:v>2</x:v>
      </x:c>
      <x:c r="N109" s="30" t="n">
        <x:v>2</x:v>
      </x:c>
      <x:c r="O109" s="30" t="n">
        <x:v>3</x:v>
      </x:c>
      <x:c r="P109" s="30" t="n">
        <x:v>3</x:v>
      </x:c>
      <x:c r="Q109" s="30" t="n">
        <x:v>2</x:v>
      </x:c>
      <x:c r="R109" s="30" t="n">
        <x:v>1</x:v>
      </x:c>
      <x:c r="S109" s="30" t="n">
        <x:v>2</x:v>
      </x:c>
      <x:c r="T109" s="30" t="n">
        <x:v>3</x:v>
      </x:c>
      <x:c r="U109" s="34" t="n">
        <x:f>AVERAGE(G109:T109)</x:f>
        <x:v>2</x:v>
      </x:c>
      <x:c r="V109" s="30" t="n">
        <x:f>COUNTIF(G109:T109,"&lt;=1")</x:f>
        <x:v>4</x:v>
      </x:c>
      <x:c r="W109" s="26" t="str">
        <x:v>Inspection consistency, offline workflows, auditability and support</x:v>
      </x:c>
      <x:c r="X109" s="26" t="str">
        <x:v>High</x:v>
      </x:c>
      <x:c r="Y109" s="26" t="str">
        <x:v>Desk-review score; validate with developers, users and operational evidence</x:v>
      </x:c>
    </x:row>
    <x:row r="110" ht="44" customHeight="1">
      <x:c r="A110" s="26" t="str">
        <x:v>D2-106</x:v>
      </x:c>
      <x:c r="B110" s="26" t="str">
        <x:v>RSIS Warehouse Online System</x:v>
      </x:c>
      <x:c r="C110" s="26" t="str">
        <x:v>National government partnership</x:v>
      </x:c>
      <x:c r="D110" s="26" t="str">
        <x:v>Inputs, seed &amp; nutrient tools</x:v>
      </x:c>
      <x:c r="E110" s="26" t="str">
        <x:v>Active / operational</x:v>
      </x:c>
      <x:c r="F110" s="26" t="str">
        <x:v>High</x:v>
      </x:c>
      <x:c r="G110" s="30" t="n">
        <x:v>2</x:v>
      </x:c>
      <x:c r="H110" s="30" t="n">
        <x:v>2</x:v>
      </x:c>
      <x:c r="I110" s="30" t="n">
        <x:v>1</x:v>
      </x:c>
      <x:c r="J110" s="30" t="n">
        <x:v>1</x:v>
      </x:c>
      <x:c r="K110" s="30" t="n">
        <x:v>1</x:v>
      </x:c>
      <x:c r="L110" s="30" t="n">
        <x:v>3</x:v>
      </x:c>
      <x:c r="M110" s="30" t="n">
        <x:v>2</x:v>
      </x:c>
      <x:c r="N110" s="30" t="n">
        <x:v>2</x:v>
      </x:c>
      <x:c r="O110" s="30" t="n">
        <x:v>3</x:v>
      </x:c>
      <x:c r="P110" s="30" t="n">
        <x:v>3</x:v>
      </x:c>
      <x:c r="Q110" s="30" t="n">
        <x:v>2</x:v>
      </x:c>
      <x:c r="R110" s="30" t="n">
        <x:v>1</x:v>
      </x:c>
      <x:c r="S110" s="30" t="n">
        <x:v>2</x:v>
      </x:c>
      <x:c r="T110" s="30" t="n">
        <x:v>2</x:v>
      </x:c>
      <x:c r="U110" s="34" t="n">
        <x:f>AVERAGE(G110:T110)</x:f>
        <x:v>1.9285714285714286</x:v>
      </x:c>
      <x:c r="V110" s="30" t="n">
        <x:f>COUNTIF(G110:T110,"&lt;=1")</x:f>
        <x:v>4</x:v>
      </x:c>
      <x:c r="W110" s="26" t="str">
        <x:v>Inventory freshness, lot reconciliation, warehouse identifiers and transaction audit</x:v>
      </x:c>
      <x:c r="X110" s="26" t="str">
        <x:v>High</x:v>
      </x:c>
      <x:c r="Y110" s="26" t="str">
        <x:v>Desk-review score; validate with developers, users and operational evidence</x:v>
      </x:c>
    </x:row>
    <x:row r="111" ht="44" customHeight="1">
      <x:c r="A111" s="26" t="str">
        <x:v>D2-107</x:v>
      </x:c>
      <x:c r="B111" s="26" t="str">
        <x:v>RSIS Online Seed Ordering System</x:v>
      </x:c>
      <x:c r="C111" s="26" t="str">
        <x:v>National government partnership</x:v>
      </x:c>
      <x:c r="D111" s="26" t="str">
        <x:v>Inputs, seed &amp; nutrient tools</x:v>
      </x:c>
      <x:c r="E111" s="26" t="str">
        <x:v>Active / operational</x:v>
      </x:c>
      <x:c r="F111" s="26" t="str">
        <x:v>High</x:v>
      </x:c>
      <x:c r="G111" s="30" t="n">
        <x:v>2</x:v>
      </x:c>
      <x:c r="H111" s="30" t="n">
        <x:v>2</x:v>
      </x:c>
      <x:c r="I111" s="30" t="n">
        <x:v>1</x:v>
      </x:c>
      <x:c r="J111" s="30" t="n">
        <x:v>1</x:v>
      </x:c>
      <x:c r="K111" s="30" t="n">
        <x:v>1</x:v>
      </x:c>
      <x:c r="L111" s="30" t="n">
        <x:v>3</x:v>
      </x:c>
      <x:c r="M111" s="30" t="n">
        <x:v>2</x:v>
      </x:c>
      <x:c r="N111" s="30" t="n">
        <x:v>2</x:v>
      </x:c>
      <x:c r="O111" s="30" t="n">
        <x:v>3</x:v>
      </x:c>
      <x:c r="P111" s="30" t="n">
        <x:v>3</x:v>
      </x:c>
      <x:c r="Q111" s="30" t="n">
        <x:v>2</x:v>
      </x:c>
      <x:c r="R111" s="30" t="n">
        <x:v>1</x:v>
      </x:c>
      <x:c r="S111" s="30" t="n">
        <x:v>2</x:v>
      </x:c>
      <x:c r="T111" s="30" t="n">
        <x:v>2</x:v>
      </x:c>
      <x:c r="U111" s="34" t="n">
        <x:f>AVERAGE(G111:T111)</x:f>
        <x:v>1.9285714285714286</x:v>
      </x:c>
      <x:c r="V111" s="30" t="n">
        <x:f>COUNTIF(G111:T111,"&lt;=1")</x:f>
        <x:v>4</x:v>
      </x:c>
      <x:c r="W111" s="26" t="str">
        <x:v>Inventory accuracy, fulfillment, payment/logistics linkage and equitable access</x:v>
      </x:c>
      <x:c r="X111" s="26" t="str">
        <x:v>High</x:v>
      </x:c>
      <x:c r="Y111" s="26" t="str">
        <x:v>Desk-review score; validate with developers, users and operational evidence</x:v>
      </x:c>
    </x:row>
    <x:row r="112" ht="44" customHeight="1">
      <x:c r="A112" s="26" t="str">
        <x:v>D2-108</x:v>
      </x:c>
      <x:c r="B112" s="26" t="str">
        <x:v>Rice Development Interventions Monitoring System</x:v>
      </x:c>
      <x:c r="C112" s="26" t="str">
        <x:v>National research institute / government</x:v>
      </x:c>
      <x:c r="D112" s="26" t="str">
        <x:v>Data infrastructure, interoperability &amp; dashboards</x:v>
      </x:c>
      <x:c r="E112" s="26" t="str">
        <x:v>Active / operational</x:v>
      </x:c>
      <x:c r="F112" s="26" t="str">
        <x:v>High</x:v>
      </x:c>
      <x:c r="G112" s="30" t="n">
        <x:v>2</x:v>
      </x:c>
      <x:c r="H112" s="30" t="n">
        <x:v>2</x:v>
      </x:c>
      <x:c r="I112" s="30" t="n">
        <x:v>1</x:v>
      </x:c>
      <x:c r="J112" s="30" t="n">
        <x:v>1</x:v>
      </x:c>
      <x:c r="K112" s="30" t="n">
        <x:v>1</x:v>
      </x:c>
      <x:c r="L112" s="30" t="n">
        <x:v>2</x:v>
      </x:c>
      <x:c r="M112" s="30" t="n">
        <x:v>2</x:v>
      </x:c>
      <x:c r="N112" s="30" t="n">
        <x:v>2</x:v>
      </x:c>
      <x:c r="O112" s="30" t="n">
        <x:v>2</x:v>
      </x:c>
      <x:c r="P112" s="30" t="n">
        <x:v>2</x:v>
      </x:c>
      <x:c r="Q112" s="30" t="n">
        <x:v>2</x:v>
      </x:c>
      <x:c r="R112" s="30" t="n">
        <x:v>2</x:v>
      </x:c>
      <x:c r="S112" s="30" t="n">
        <x:v>2</x:v>
      </x:c>
      <x:c r="T112" s="30" t="n">
        <x:v>2</x:v>
      </x:c>
      <x:c r="U112" s="34" t="n">
        <x:f>AVERAGE(G112:T112)</x:f>
        <x:v>1.7857142857142858</x:v>
      </x:c>
      <x:c r="V112" s="30" t="n">
        <x:f>COUNTIF(G112:T112,"&lt;=1")</x:f>
        <x:v>3</x:v>
      </x:c>
      <x:c r="W112" s="26" t="str">
        <x:v>Current data coverage, duplication with other MIS, outcomes and accountable data ownership</x:v>
      </x:c>
      <x:c r="X112" s="26" t="str">
        <x:v>High</x:v>
      </x:c>
      <x:c r="Y112" s="26" t="str">
        <x:v>Desk-review score; validate with developers, users and operational evidence</x:v>
      </x:c>
    </x:row>
    <x:row r="113" ht="44" customHeight="1">
      <x:c r="A113" s="26" t="str">
        <x:v>D2-109</x:v>
      </x:c>
      <x:c r="B113" s="26" t="str">
        <x:v>Oryza GEMS / GeneLytics</x:v>
      </x:c>
      <x:c r="C113" s="26" t="str">
        <x:v>National research institute / international data partnership</x:v>
      </x:c>
      <x:c r="D113" s="26" t="str">
        <x:v>Data infrastructure, interoperability &amp; dashboards</x:v>
      </x:c>
      <x:c r="E113" s="26" t="str">
        <x:v>Active / operational</x:v>
      </x:c>
      <x:c r="F113" s="26" t="str">
        <x:v>High</x:v>
      </x:c>
      <x:c r="G113" s="30" t="n">
        <x:v>2</x:v>
      </x:c>
      <x:c r="H113" s="30" t="n">
        <x:v>2</x:v>
      </x:c>
      <x:c r="I113" s="30" t="n">
        <x:v>1</x:v>
      </x:c>
      <x:c r="J113" s="30" t="n">
        <x:v>1</x:v>
      </x:c>
      <x:c r="K113" s="30" t="n">
        <x:v>1</x:v>
      </x:c>
      <x:c r="L113" s="30" t="n">
        <x:v>3</x:v>
      </x:c>
      <x:c r="M113" s="30" t="n">
        <x:v>1</x:v>
      </x:c>
      <x:c r="N113" s="30" t="n">
        <x:v>2</x:v>
      </x:c>
      <x:c r="O113" s="30" t="n">
        <x:v>2</x:v>
      </x:c>
      <x:c r="P113" s="30" t="n">
        <x:v>1</x:v>
      </x:c>
      <x:c r="Q113" s="30" t="n">
        <x:v>2</x:v>
      </x:c>
      <x:c r="R113" s="30" t="n">
        <x:v>1</x:v>
      </x:c>
      <x:c r="S113" s="30" t="n">
        <x:v>2</x:v>
      </x:c>
      <x:c r="T113" s="30" t="n">
        <x:v>2</x:v>
      </x:c>
      <x:c r="U113" s="34" t="n">
        <x:f>AVERAGE(G113:T113)</x:f>
        <x:v>1.6428571428571428</x:v>
      </x:c>
      <x:c r="V113" s="30" t="n">
        <x:f>COUNTIF(G113:T113,"&lt;=1")</x:f>
        <x:v>6</x:v>
      </x:c>
      <x:c r="W113" s="26" t="str">
        <x:v>Metadata harmonization, data licensing, provenance and long-term research infrastructure support</x:v>
      </x:c>
      <x:c r="X113" s="26" t="str">
        <x:v>Medium</x:v>
      </x:c>
      <x:c r="Y113" s="26" t="str">
        <x:v>Desk-review score; validate with developers, users and operational evidence</x:v>
      </x:c>
    </x:row>
    <x:row r="114" ht="44" customHeight="1">
      <x:c r="A114" s="26" t="str">
        <x:v>D2-110</x:v>
      </x:c>
      <x:c r="B114" s="26" t="str">
        <x:v>Bantay Palay Mobile and SMS Price Advisory System</x:v>
      </x:c>
      <x:c r="C114" s="26" t="str">
        <x:v>National government partnership</x:v>
      </x:c>
      <x:c r="D114" s="26" t="str">
        <x:v>Markets, e-commerce &amp; logistics</x:v>
      </x:c>
      <x:c r="E114" s="26" t="str">
        <x:v>Active / expanding</x:v>
      </x:c>
      <x:c r="F114" s="26" t="str">
        <x:v>High</x:v>
      </x:c>
      <x:c r="G114" s="30" t="n">
        <x:v>2</x:v>
      </x:c>
      <x:c r="H114" s="30" t="n">
        <x:v>2</x:v>
      </x:c>
      <x:c r="I114" s="30" t="n">
        <x:v>1</x:v>
      </x:c>
      <x:c r="J114" s="30" t="n">
        <x:v>1</x:v>
      </x:c>
      <x:c r="K114" s="30" t="n">
        <x:v>1</x:v>
      </x:c>
      <x:c r="L114" s="30" t="n">
        <x:v>3</x:v>
      </x:c>
      <x:c r="M114" s="30" t="n">
        <x:v>1</x:v>
      </x:c>
      <x:c r="N114" s="30" t="n">
        <x:v>2</x:v>
      </x:c>
      <x:c r="O114" s="30" t="n">
        <x:v>3</x:v>
      </x:c>
      <x:c r="P114" s="30" t="n">
        <x:v>3</x:v>
      </x:c>
      <x:c r="Q114" s="30" t="n">
        <x:v>2</x:v>
      </x:c>
      <x:c r="R114" s="30" t="n">
        <x:v>1</x:v>
      </x:c>
      <x:c r="S114" s="30" t="n">
        <x:v>2</x:v>
      </x:c>
      <x:c r="T114" s="30" t="n">
        <x:v>3</x:v>
      </x:c>
      <x:c r="U114" s="34" t="n">
        <x:f>AVERAGE(G114:T114)</x:f>
        <x:v>1.9285714285714286</x:v>
      </x:c>
      <x:c r="V114" s="30" t="n">
        <x:f>COUNTIF(G114:T114,"&lt;=1")</x:f>
        <x:v>5</x:v>
      </x:c>
      <x:c r="W114" s="26" t="str">
        <x:v>Collector coverage, validation timeliness, manipulation risks and linkage to actual buyers</x:v>
      </x:c>
      <x:c r="X114" s="26" t="str">
        <x:v>High</x:v>
      </x:c>
      <x:c r="Y114" s="26" t="str">
        <x:v>Desk-review score; validate with developers, users and operational evidence</x:v>
      </x:c>
    </x:row>
    <x:row r="115" ht="44" customHeight="1">
      <x:c r="A115" s="26" t="str">
        <x:v>D2-111</x:v>
      </x:c>
      <x:c r="B115" s="26" t="str">
        <x:v>RiceLytics Mobile</x:v>
      </x:c>
      <x:c r="C115" s="26" t="str">
        <x:v>National research institute</x:v>
      </x:c>
      <x:c r="D115" s="26" t="str">
        <x:v>Data infrastructure, interoperability &amp; dashboards</x:v>
      </x:c>
      <x:c r="E115" s="26" t="str">
        <x:v>Active / operational</x:v>
      </x:c>
      <x:c r="F115" s="26" t="str">
        <x:v>High</x:v>
      </x:c>
      <x:c r="G115" s="30" t="n">
        <x:v>2</x:v>
      </x:c>
      <x:c r="H115" s="30" t="n">
        <x:v>2</x:v>
      </x:c>
      <x:c r="I115" s="30" t="n">
        <x:v>1</x:v>
      </x:c>
      <x:c r="J115" s="30" t="n">
        <x:v>1</x:v>
      </x:c>
      <x:c r="K115" s="30" t="n">
        <x:v>1</x:v>
      </x:c>
      <x:c r="L115" s="30" t="n">
        <x:v>2</x:v>
      </x:c>
      <x:c r="M115" s="30" t="n">
        <x:v>2</x:v>
      </x:c>
      <x:c r="N115" s="30" t="n">
        <x:v>2</x:v>
      </x:c>
      <x:c r="O115" s="30" t="n">
        <x:v>2</x:v>
      </x:c>
      <x:c r="P115" s="30" t="n">
        <x:v>1</x:v>
      </x:c>
      <x:c r="Q115" s="30" t="n">
        <x:v>2</x:v>
      </x:c>
      <x:c r="R115" s="30" t="n">
        <x:v>1</x:v>
      </x:c>
      <x:c r="S115" s="30" t="n">
        <x:v>2</x:v>
      </x:c>
      <x:c r="T115" s="30" t="n">
        <x:v>2</x:v>
      </x:c>
      <x:c r="U115" s="34" t="n">
        <x:f>AVERAGE(G115:T115)</x:f>
        <x:v>1.6428571428571428</x:v>
      </x:c>
      <x:c r="V115" s="30" t="n">
        <x:f>COUNTIF(G115:T115,"&lt;=1")</x:f>
        <x:v>5</x:v>
      </x:c>
      <x:c r="W115" s="26" t="str">
        <x:v>App uptake, synchronization with web indicators, accessibility and API availability</x:v>
      </x:c>
      <x:c r="X115" s="26" t="str">
        <x:v>Medium</x:v>
      </x:c>
      <x:c r="Y115" s="26" t="str">
        <x:v>Desk-review score; validate with developers, users and operational evidence</x:v>
      </x:c>
    </x:row>
    <x:row r="116" ht="44" customHeight="1">
      <x:c r="A116" s="26" t="str">
        <x:v>D2-112</x:v>
      </x:c>
      <x:c r="B116" s="26" t="str">
        <x:v>Pal ai Rice Knowledge Assistant</x:v>
      </x:c>
      <x:c r="C116" s="26" t="str">
        <x:v>National research institute</x:v>
      </x:c>
      <x:c r="D116" s="26" t="str">
        <x:v>Advisory &amp; e-extension</x:v>
      </x:c>
      <x:c r="E116" s="26" t="str">
        <x:v>Pilot / beta</x:v>
      </x:c>
      <x:c r="F116" s="26" t="str">
        <x:v>High</x:v>
      </x:c>
      <x:c r="G116" s="30" t="n">
        <x:v>1</x:v>
      </x:c>
      <x:c r="H116" s="30" t="n">
        <x:v>1</x:v>
      </x:c>
      <x:c r="I116" s="30" t="n">
        <x:v>1</x:v>
      </x:c>
      <x:c r="J116" s="30" t="n">
        <x:v>1</x:v>
      </x:c>
      <x:c r="K116" s="30" t="n">
        <x:v>3</x:v>
      </x:c>
      <x:c r="L116" s="30" t="n">
        <x:v>2</x:v>
      </x:c>
      <x:c r="M116" s="30" t="n">
        <x:v>1</x:v>
      </x:c>
      <x:c r="N116" s="30" t="n">
        <x:v>2</x:v>
      </x:c>
      <x:c r="O116" s="30" t="n">
        <x:v>2</x:v>
      </x:c>
      <x:c r="P116" s="30" t="n">
        <x:v>1</x:v>
      </x:c>
      <x:c r="Q116" s="30" t="n">
        <x:v>2</x:v>
      </x:c>
      <x:c r="R116" s="30" t="n">
        <x:v>1</x:v>
      </x:c>
      <x:c r="S116" s="30" t="n">
        <x:v>1</x:v>
      </x:c>
      <x:c r="T116" s="30" t="n">
        <x:v>3</x:v>
      </x:c>
      <x:c r="U116" s="34" t="n">
        <x:f>AVERAGE(G116:T116)</x:f>
        <x:v>1.5714285714285714</x:v>
      </x:c>
      <x:c r="V116" s="30" t="n">
        <x:f>COUNTIF(G116:T116,"&lt;=1")</x:f>
        <x:v>8</x:v>
      </x:c>
      <x:c r="W116" s="26" t="str">
        <x:v>Hallucination control, knowledge freshness, expert accountability, privacy and offline access</x:v>
      </x:c>
      <x:c r="X116" s="26" t="str">
        <x:v>High</x:v>
      </x:c>
      <x:c r="Y116" s="26" t="str">
        <x:v>Desk-review score; validate with developers, users and operational evidence</x:v>
      </x:c>
    </x:row>
    <x:row r="117" ht="44" customHeight="1">
      <x:c r="A117" s="26" t="str">
        <x:v>D2-113</x:v>
      </x:c>
      <x:c r="B117" s="26" t="str">
        <x:v>ePaalala Rice Advisory System</x:v>
      </x:c>
      <x:c r="C117" s="26" t="str">
        <x:v>National research institute</x:v>
      </x:c>
      <x:c r="D117" s="26" t="str">
        <x:v>Advisory &amp; e-extension</x:v>
      </x:c>
      <x:c r="E117" s="26" t="str">
        <x:v>Status unverified</x:v>
      </x:c>
      <x:c r="F117" s="26" t="str">
        <x:v>Medium</x:v>
      </x:c>
      <x:c r="G117" s="30" t="n">
        <x:v>1</x:v>
      </x:c>
      <x:c r="H117" s="30" t="n">
        <x:v>0</x:v>
      </x:c>
      <x:c r="I117" s="30" t="n">
        <x:v>1</x:v>
      </x:c>
      <x:c r="J117" s="30" t="n">
        <x:v>1</x:v>
      </x:c>
      <x:c r="K117" s="30" t="n">
        <x:v>3</x:v>
      </x:c>
      <x:c r="L117" s="30" t="n">
        <x:v>2</x:v>
      </x:c>
      <x:c r="M117" s="30" t="n">
        <x:v>1</x:v>
      </x:c>
      <x:c r="N117" s="30" t="n">
        <x:v>2</x:v>
      </x:c>
      <x:c r="O117" s="30" t="n">
        <x:v>2</x:v>
      </x:c>
      <x:c r="P117" s="30" t="n">
        <x:v>1</x:v>
      </x:c>
      <x:c r="Q117" s="30" t="n">
        <x:v>2</x:v>
      </x:c>
      <x:c r="R117" s="30" t="n">
        <x:v>1</x:v>
      </x:c>
      <x:c r="S117" s="30" t="n">
        <x:v>1</x:v>
      </x:c>
      <x:c r="T117" s="30" t="n">
        <x:v>3</x:v>
      </x:c>
      <x:c r="U117" s="34" t="n">
        <x:f>AVERAGE(G117:T117)</x:f>
        <x:v>1.5</x:v>
      </x:c>
      <x:c r="V117" s="30" t="n">
        <x:f>COUNTIF(G117:T117,"&lt;=1")</x:f>
        <x:v>8</x:v>
      </x:c>
      <x:c r="W117" s="26" t="str">
        <x:v>Current status, overlap with RCMAS and PalayCheck, content governance and sustained delivery</x:v>
      </x:c>
      <x:c r="X117" s="26" t="str">
        <x:v>Low</x:v>
      </x:c>
      <x:c r="Y117" s="26" t="str">
        <x:v>Desk-review score; validate with developers, users and operational evidence</x:v>
      </x:c>
    </x:row>
    <x:row r="118" ht="44" customHeight="1">
      <x:c r="A118" s="26" t="str">
        <x:v>D2-114</x:v>
      </x:c>
      <x:c r="B118" s="26" t="str">
        <x:v>PhilRice Text Center / INFOTXT and E-INFO</x:v>
      </x:c>
      <x:c r="C118" s="26" t="str">
        <x:v>National research institute</x:v>
      </x:c>
      <x:c r="D118" s="26" t="str">
        <x:v>Advisory &amp; e-extension</x:v>
      </x:c>
      <x:c r="E118" s="26" t="str">
        <x:v>Active / status to be reconfirmed</x:v>
      </x:c>
      <x:c r="F118" s="26" t="str">
        <x:v>Medium</x:v>
      </x:c>
      <x:c r="G118" s="30" t="n">
        <x:v>3</x:v>
      </x:c>
      <x:c r="H118" s="30" t="n">
        <x:v>2</x:v>
      </x:c>
      <x:c r="I118" s="30" t="n">
        <x:v>2</x:v>
      </x:c>
      <x:c r="J118" s="30" t="n">
        <x:v>2</x:v>
      </x:c>
      <x:c r="K118" s="30" t="n">
        <x:v>3</x:v>
      </x:c>
      <x:c r="L118" s="30" t="n">
        <x:v>2</x:v>
      </x:c>
      <x:c r="M118" s="30" t="n">
        <x:v>1</x:v>
      </x:c>
      <x:c r="N118" s="30" t="n">
        <x:v>3</x:v>
      </x:c>
      <x:c r="O118" s="30" t="n">
        <x:v>2</x:v>
      </x:c>
      <x:c r="P118" s="30" t="n">
        <x:v>1</x:v>
      </x:c>
      <x:c r="Q118" s="30" t="n">
        <x:v>2</x:v>
      </x:c>
      <x:c r="R118" s="30" t="n">
        <x:v>1</x:v>
      </x:c>
      <x:c r="S118" s="30" t="n">
        <x:v>3</x:v>
      </x:c>
      <x:c r="T118" s="30" t="n">
        <x:v>3</x:v>
      </x:c>
      <x:c r="U118" s="34" t="n">
        <x:f>AVERAGE(G118:T118)</x:f>
        <x:v>2.142857142857143</x:v>
      </x:c>
      <x:c r="V118" s="30" t="n">
        <x:f>COUNTIF(G118:T118,"&lt;=1")</x:f>
        <x:v>3</x:v>
      </x:c>
      <x:c r="W118" s="26" t="str">
        <x:v>Current service levels, response metrics, integration with newer AI/contact systems and archival knowledge</x:v>
      </x:c>
      <x:c r="X118" s="26" t="str">
        <x:v>Medium</x:v>
      </x:c>
      <x:c r="Y118" s="26" t="str">
        <x:v>Desk-review score; validate with developers, users and operational evidence</x:v>
      </x:c>
    </x:row>
    <x:row r="119" ht="44" customHeight="1">
      <x:c r="A119" s="26" t="str">
        <x:v>D2-115</x:v>
      </x:c>
      <x:c r="B119" s="26" t="str">
        <x:v>Open Academy for Philippine Agriculture</x:v>
      </x:c>
      <x:c r="C119" s="26" t="str">
        <x:v>National research institute / partnership</x:v>
      </x:c>
      <x:c r="D119" s="26" t="str">
        <x:v>Advisory &amp; e-extension</x:v>
      </x:c>
      <x:c r="E119" s="26" t="str">
        <x:v>Legacy / current status unverified</x:v>
      </x:c>
      <x:c r="F119" s="26" t="str">
        <x:v>Medium</x:v>
      </x:c>
      <x:c r="G119" s="30" t="n">
        <x:v>1</x:v>
      </x:c>
      <x:c r="H119" s="30" t="n">
        <x:v>0</x:v>
      </x:c>
      <x:c r="I119" s="30" t="n">
        <x:v>1</x:v>
      </x:c>
      <x:c r="J119" s="30" t="n">
        <x:v>1</x:v>
      </x:c>
      <x:c r="K119" s="30" t="n">
        <x:v>3</x:v>
      </x:c>
      <x:c r="L119" s="30" t="n">
        <x:v>3</x:v>
      </x:c>
      <x:c r="M119" s="30" t="n">
        <x:v>1</x:v>
      </x:c>
      <x:c r="N119" s="30" t="n">
        <x:v>2</x:v>
      </x:c>
      <x:c r="O119" s="30" t="n">
        <x:v>2</x:v>
      </x:c>
      <x:c r="P119" s="30" t="n">
        <x:v>1</x:v>
      </x:c>
      <x:c r="Q119" s="30" t="n">
        <x:v>2</x:v>
      </x:c>
      <x:c r="R119" s="30" t="n">
        <x:v>1</x:v>
      </x:c>
      <x:c r="S119" s="30" t="n">
        <x:v>1</x:v>
      </x:c>
      <x:c r="T119" s="30" t="n">
        <x:v>2</x:v>
      </x:c>
      <x:c r="U119" s="34" t="n">
        <x:f>AVERAGE(G119:T119)</x:f>
        <x:v>1.5</x:v>
      </x:c>
      <x:c r="V119" s="30" t="n">
        <x:f>COUNTIF(G119:T119,"&lt;=1")</x:f>
        <x:v>8</x:v>
      </x:c>
      <x:c r="W119" s="26" t="str">
        <x:v>Platform continuity, outdated content, overlap and archival/access status</x:v>
      </x:c>
      <x:c r="X119" s="26" t="str">
        <x:v>Low</x:v>
      </x:c>
      <x:c r="Y119" s="26" t="str">
        <x:v>Desk-review score; validate with developers, users and operational evidence</x:v>
      </x:c>
    </x:row>
    <x:row r="120" ht="44" customHeight="1">
      <x:c r="A120" s="26" t="str">
        <x:v>D2-116</x:v>
      </x:c>
      <x:c r="B120" s="26" t="str">
        <x:v>PhilRice Statistical Laboratory Digital Data Service</x:v>
      </x:c>
      <x:c r="C120" s="26" t="str">
        <x:v>National research institute</x:v>
      </x:c>
      <x:c r="D120" s="26" t="str">
        <x:v>Data infrastructure, interoperability &amp; dashboards</x:v>
      </x:c>
      <x:c r="E120" s="26" t="str">
        <x:v>Active / status to be reconfirmed</x:v>
      </x:c>
      <x:c r="F120" s="26" t="str">
        <x:v>Medium</x:v>
      </x:c>
      <x:c r="G120" s="30" t="n">
        <x:v>2</x:v>
      </x:c>
      <x:c r="H120" s="30" t="n">
        <x:v>2</x:v>
      </x:c>
      <x:c r="I120" s="30" t="n">
        <x:v>1</x:v>
      </x:c>
      <x:c r="J120" s="30" t="n">
        <x:v>1</x:v>
      </x:c>
      <x:c r="K120" s="30" t="n">
        <x:v>1</x:v>
      </x:c>
      <x:c r="L120" s="30" t="n">
        <x:v>2</x:v>
      </x:c>
      <x:c r="M120" s="30" t="n">
        <x:v>1</x:v>
      </x:c>
      <x:c r="N120" s="30" t="n">
        <x:v>2</x:v>
      </x:c>
      <x:c r="O120" s="30" t="n">
        <x:v>2</x:v>
      </x:c>
      <x:c r="P120" s="30" t="n">
        <x:v>1</x:v>
      </x:c>
      <x:c r="Q120" s="30" t="n">
        <x:v>2</x:v>
      </x:c>
      <x:c r="R120" s="30" t="n">
        <x:v>1</x:v>
      </x:c>
      <x:c r="S120" s="30" t="n">
        <x:v>2</x:v>
      </x:c>
      <x:c r="T120" s="30" t="n">
        <x:v>2</x:v>
      </x:c>
      <x:c r="U120" s="34" t="n">
        <x:f>AVERAGE(G120:T120)</x:f>
        <x:v>1.5714285714285714</x:v>
      </x:c>
      <x:c r="V120" s="30" t="n">
        <x:f>COUNTIF(G120:T120,"&lt;=1")</x:f>
        <x:v>6</x:v>
      </x:c>
      <x:c r="W120" s="26" t="str">
        <x:v>Public service description, request workflow, reproducibility, data governance and capacity</x:v>
      </x:c>
      <x:c r="X120" s="26" t="str">
        <x:v>Low</x:v>
      </x:c>
      <x:c r="Y120" s="26" t="str">
        <x:v>Desk-review score; validate with developers, users and operational evidence</x:v>
      </x:c>
    </x:row>
    <x:row r="121" ht="44" customHeight="1">
      <x:c r="A121" s="26" t="str">
        <x:v>D2-117</x:v>
      </x:c>
      <x:c r="B121" s="26" t="str">
        <x:v>Bantay SARAi Agricultural Monitoring Platform</x:v>
      </x:c>
      <x:c r="C121" s="26" t="str">
        <x:v>SUC–government research partnership</x:v>
      </x:c>
      <x:c r="D121" s="26" t="str">
        <x:v>Farm management &amp; decision support</x:v>
      </x:c>
      <x:c r="E121" s="26" t="str">
        <x:v>Active / status partly verified</x:v>
      </x:c>
      <x:c r="F121" s="26" t="str">
        <x:v>High</x:v>
      </x:c>
      <x:c r="G121" s="30" t="n">
        <x:v>2</x:v>
      </x:c>
      <x:c r="H121" s="30" t="n">
        <x:v>2</x:v>
      </x:c>
      <x:c r="I121" s="30" t="n">
        <x:v>1</x:v>
      </x:c>
      <x:c r="J121" s="30" t="n">
        <x:v>1</x:v>
      </x:c>
      <x:c r="K121" s="30" t="n">
        <x:v>3</x:v>
      </x:c>
      <x:c r="L121" s="30" t="n">
        <x:v>3</x:v>
      </x:c>
      <x:c r="M121" s="30" t="n">
        <x:v>1</x:v>
      </x:c>
      <x:c r="N121" s="30" t="n">
        <x:v>2</x:v>
      </x:c>
      <x:c r="O121" s="30" t="n">
        <x:v>2</x:v>
      </x:c>
      <x:c r="P121" s="30" t="n">
        <x:v>2</x:v>
      </x:c>
      <x:c r="Q121" s="30" t="n">
        <x:v>2</x:v>
      </x:c>
      <x:c r="R121" s="30" t="n">
        <x:v>1</x:v>
      </x:c>
      <x:c r="S121" s="30" t="n">
        <x:v>2</x:v>
      </x:c>
      <x:c r="T121" s="30" t="n">
        <x:v>2</x:v>
      </x:c>
      <x:c r="U121" s="34" t="n">
        <x:f>AVERAGE(G121:T121)</x:f>
        <x:v>1.8571428571428572</x:v>
      </x:c>
      <x:c r="V121" s="30" t="n">
        <x:f>COUNTIF(G121:T121,"&lt;=1")</x:f>
        <x:v>4</x:v>
      </x:c>
      <x:c r="W121" s="26" t="str">
        <x:v>Long-term hosting, RSBSA naming ambiguity, identity alignment and operational adoption</x:v>
      </x:c>
      <x:c r="X121" s="26" t="str">
        <x:v>High</x:v>
      </x:c>
      <x:c r="Y121" s="26" t="str">
        <x:v>Desk-review score; validate with developers, users and operational evidence</x:v>
      </x:c>
    </x:row>
    <x:row r="122" ht="44" customHeight="1">
      <x:c r="A122" s="26" t="str">
        <x:v>D2-118</x:v>
      </x:c>
      <x:c r="B122" s="26" t="str">
        <x:v>Community-Level SARAi Enhanced Agricultural Monitoring System</x:v>
      </x:c>
      <x:c r="C122" s="26" t="str">
        <x:v>SUC–government research partnership</x:v>
      </x:c>
      <x:c r="D122" s="26" t="str">
        <x:v>Precision agriculture, EO, drones &amp; IoT</x:v>
      </x:c>
      <x:c r="E122" s="26" t="str">
        <x:v>Active / expanding</x:v>
      </x:c>
      <x:c r="F122" s="26" t="str">
        <x:v>High</x:v>
      </x:c>
      <x:c r="G122" s="30" t="n">
        <x:v>2</x:v>
      </x:c>
      <x:c r="H122" s="30" t="n">
        <x:v>2</x:v>
      </x:c>
      <x:c r="I122" s="30" t="n">
        <x:v>2</x:v>
      </x:c>
      <x:c r="J122" s="30" t="n">
        <x:v>1</x:v>
      </x:c>
      <x:c r="K122" s="30" t="n">
        <x:v>3</x:v>
      </x:c>
      <x:c r="L122" s="30" t="n">
        <x:v>3</x:v>
      </x:c>
      <x:c r="M122" s="30" t="n">
        <x:v>1</x:v>
      </x:c>
      <x:c r="N122" s="30" t="n">
        <x:v>2</x:v>
      </x:c>
      <x:c r="O122" s="30" t="n">
        <x:v>2</x:v>
      </x:c>
      <x:c r="P122" s="30" t="n">
        <x:v>2</x:v>
      </x:c>
      <x:c r="Q122" s="30" t="n">
        <x:v>1</x:v>
      </x:c>
      <x:c r="R122" s="30" t="n">
        <x:v>1</x:v>
      </x:c>
      <x:c r="S122" s="30" t="n">
        <x:v>2</x:v>
      </x:c>
      <x:c r="T122" s="30" t="n">
        <x:v>2</x:v>
      </x:c>
      <x:c r="U122" s="34" t="n">
        <x:f>AVERAGE(G122:T122)</x:f>
        <x:v>1.8571428571428572</x:v>
      </x:c>
      <x:c r="V122" s="30" t="n">
        <x:f>COUNTIF(G122:T122,"&lt;=1")</x:f>
        <x:v>4</x:v>
      </x:c>
      <x:c r="W122" s="26" t="str">
        <x:v>Technical skills, GEE dependencies, validation, workflow maintenance and data standardization</x:v>
      </x:c>
      <x:c r="X122" s="26" t="str">
        <x:v>High</x:v>
      </x:c>
      <x:c r="Y122" s="26" t="str">
        <x:v>Desk-review score; validate with developers, users and operational evidence</x:v>
      </x:c>
    </x:row>
    <x:row r="123" ht="44" customHeight="1">
      <x:c r="A123" s="26" t="str">
        <x:v>D2-119</x:v>
      </x:c>
      <x:c r="B123" s="26" t="str">
        <x:v>Drought and Crop Assessment and Forecasting</x:v>
      </x:c>
      <x:c r="C123" s="26" t="str">
        <x:v>SUC–government research partnership</x:v>
      </x:c>
      <x:c r="D123" s="26" t="str">
        <x:v>Climate, weather &amp; early warning</x:v>
      </x:c>
      <x:c r="E123" s="26" t="str">
        <x:v>Status unverified</x:v>
      </x:c>
      <x:c r="F123" s="26" t="str">
        <x:v>Medium</x:v>
      </x:c>
      <x:c r="G123" s="30" t="n">
        <x:v>1</x:v>
      </x:c>
      <x:c r="H123" s="30" t="n">
        <x:v>0</x:v>
      </x:c>
      <x:c r="I123" s="30" t="n">
        <x:v>1</x:v>
      </x:c>
      <x:c r="J123" s="30" t="n">
        <x:v>1</x:v>
      </x:c>
      <x:c r="K123" s="30" t="n">
        <x:v>3</x:v>
      </x:c>
      <x:c r="L123" s="30" t="n">
        <x:v>3</x:v>
      </x:c>
      <x:c r="M123" s="30" t="n">
        <x:v>1</x:v>
      </x:c>
      <x:c r="N123" s="30" t="n">
        <x:v>2</x:v>
      </x:c>
      <x:c r="O123" s="30" t="n">
        <x:v>2</x:v>
      </x:c>
      <x:c r="P123" s="30" t="n">
        <x:v>2</x:v>
      </x:c>
      <x:c r="Q123" s="30" t="n">
        <x:v>2</x:v>
      </x:c>
      <x:c r="R123" s="30" t="n">
        <x:v>1</x:v>
      </x:c>
      <x:c r="S123" s="30" t="n">
        <x:v>1</x:v>
      </x:c>
      <x:c r="T123" s="30" t="n">
        <x:v>2</x:v>
      </x:c>
      <x:c r="U123" s="34" t="n">
        <x:f>AVERAGE(G123:T123)</x:f>
        <x:v>1.5714285714285714</x:v>
      </x:c>
      <x:c r="V123" s="30" t="n">
        <x:f>COUNTIF(G123:T123,"&lt;=1")</x:f>
        <x:v>7</x:v>
      </x:c>
      <x:c r="W123" s="26" t="str">
        <x:v>Current hosting, update schedule, access, local validation and integration with authoritative forecasts</x:v>
      </x:c>
      <x:c r="X123" s="26" t="str">
        <x:v>Medium</x:v>
      </x:c>
      <x:c r="Y123" s="26" t="str">
        <x:v>Desk-review score; validate with developers, users and operational evidence</x:v>
      </x:c>
    </x:row>
    <x:row r="124" ht="44" customHeight="1">
      <x:c r="A124" s="26" t="str">
        <x:v>D2-120</x:v>
      </x:c>
      <x:c r="B124" s="26" t="str">
        <x:v>Water Balance-Assisted Irrigation Scheduler System</x:v>
      </x:c>
      <x:c r="C124" s="26" t="str">
        <x:v>SUC–government research partnership</x:v>
      </x:c>
      <x:c r="D124" s="26" t="str">
        <x:v>Farm management &amp; decision support</x:v>
      </x:c>
      <x:c r="E124" s="26" t="str">
        <x:v>Status unverified</x:v>
      </x:c>
      <x:c r="F124" s="26" t="str">
        <x:v>Medium</x:v>
      </x:c>
      <x:c r="G124" s="30" t="n">
        <x:v>1</x:v>
      </x:c>
      <x:c r="H124" s="30" t="n">
        <x:v>0</x:v>
      </x:c>
      <x:c r="I124" s="30" t="n">
        <x:v>1</x:v>
      </x:c>
      <x:c r="J124" s="30" t="n">
        <x:v>1</x:v>
      </x:c>
      <x:c r="K124" s="30" t="n">
        <x:v>3</x:v>
      </x:c>
      <x:c r="L124" s="30" t="n">
        <x:v>3</x:v>
      </x:c>
      <x:c r="M124" s="30" t="n">
        <x:v>1</x:v>
      </x:c>
      <x:c r="N124" s="30" t="n">
        <x:v>2</x:v>
      </x:c>
      <x:c r="O124" s="30" t="n">
        <x:v>2</x:v>
      </x:c>
      <x:c r="P124" s="30" t="n">
        <x:v>2</x:v>
      </x:c>
      <x:c r="Q124" s="30" t="n">
        <x:v>2</x:v>
      </x:c>
      <x:c r="R124" s="30" t="n">
        <x:v>1</x:v>
      </x:c>
      <x:c r="S124" s="30" t="n">
        <x:v>1</x:v>
      </x:c>
      <x:c r="T124" s="30" t="n">
        <x:v>2</x:v>
      </x:c>
      <x:c r="U124" s="34" t="n">
        <x:f>AVERAGE(G124:T124)</x:f>
        <x:v>1.5714285714285714</x:v>
      </x:c>
      <x:c r="V124" s="30" t="n">
        <x:f>COUNTIF(G124:T124,"&lt;=1")</x:f>
        <x:v>7</x:v>
      </x:c>
      <x:c r="W124" s="26" t="str">
        <x:v>Current availability, field calibration, sensor support, data inputs and service ownership</x:v>
      </x:c>
      <x:c r="X124" s="26" t="str">
        <x:v>High</x:v>
      </x:c>
      <x:c r="Y124" s="26" t="str">
        <x:v>Desk-review score; validate with developers, users and operational evidence</x:v>
      </x:c>
    </x:row>
    <x:row r="125" ht="44" customHeight="1">
      <x:c r="A125" s="26" t="str">
        <x:v>D2-121</x:v>
      </x:c>
      <x:c r="B125" s="26" t="str">
        <x:v>SARAi Automatic Weather and Soil Sensor Network</x:v>
      </x:c>
      <x:c r="C125" s="26" t="str">
        <x:v>SUC–government research partnership</x:v>
      </x:c>
      <x:c r="D125" s="26" t="str">
        <x:v>Precision agriculture, EO, drones &amp; IoT</x:v>
      </x:c>
      <x:c r="E125" s="26" t="str">
        <x:v>Status unverified</x:v>
      </x:c>
      <x:c r="F125" s="26" t="str">
        <x:v>Medium</x:v>
      </x:c>
      <x:c r="G125" s="30" t="n">
        <x:v>2</x:v>
      </x:c>
      <x:c r="H125" s="30" t="n">
        <x:v>0</x:v>
      </x:c>
      <x:c r="I125" s="30" t="n">
        <x:v>1</x:v>
      </x:c>
      <x:c r="J125" s="30" t="n">
        <x:v>1</x:v>
      </x:c>
      <x:c r="K125" s="30" t="n">
        <x:v>1</x:v>
      </x:c>
      <x:c r="L125" s="30" t="n">
        <x:v>3</x:v>
      </x:c>
      <x:c r="M125" s="30" t="n">
        <x:v>1</x:v>
      </x:c>
      <x:c r="N125" s="30" t="n">
        <x:v>2</x:v>
      </x:c>
      <x:c r="O125" s="30" t="n">
        <x:v>2</x:v>
      </x:c>
      <x:c r="P125" s="30" t="n">
        <x:v>2</x:v>
      </x:c>
      <x:c r="Q125" s="30" t="n">
        <x:v>2</x:v>
      </x:c>
      <x:c r="R125" s="30" t="n">
        <x:v>1</x:v>
      </x:c>
      <x:c r="S125" s="30" t="n">
        <x:v>1</x:v>
      </x:c>
      <x:c r="T125" s="30" t="n">
        <x:v>2</x:v>
      </x:c>
      <x:c r="U125" s="34" t="n">
        <x:f>AVERAGE(G125:T125)</x:f>
        <x:v>1.5</x:v>
      </x:c>
      <x:c r="V125" s="30" t="n">
        <x:f>COUNTIF(G125:T125,"&lt;=1")</x:f>
        <x:v>7</x:v>
      </x:c>
      <x:c r="W125" s="26" t="str">
        <x:v>Maintenance, calibration, power/connectivity, station ownership, standards and post-project continuity</x:v>
      </x:c>
      <x:c r="X125" s="26" t="str">
        <x:v>High</x:v>
      </x:c>
      <x:c r="Y125" s="26" t="str">
        <x:v>Desk-review score; validate with developers, users and operational evidence</x:v>
      </x:c>
    </x:row>
    <x:row r="126" ht="44" customHeight="1">
      <x:c r="A126" s="26" t="str">
        <x:v>D2-122</x:v>
      </x:c>
      <x:c r="B126" s="26" t="str">
        <x:v>SARAi Insect Pest and Disease Advisory System</x:v>
      </x:c>
      <x:c r="C126" s="26" t="str">
        <x:v>SUC–government research partnership</x:v>
      </x:c>
      <x:c r="D126" s="26" t="str">
        <x:v>Pest, disease &amp; biosecurity</x:v>
      </x:c>
      <x:c r="E126" s="26" t="str">
        <x:v>Status unverified</x:v>
      </x:c>
      <x:c r="F126" s="26" t="str">
        <x:v>Medium</x:v>
      </x:c>
      <x:c r="G126" s="30" t="n">
        <x:v>1</x:v>
      </x:c>
      <x:c r="H126" s="30" t="n">
        <x:v>0</x:v>
      </x:c>
      <x:c r="I126" s="30" t="n">
        <x:v>1</x:v>
      </x:c>
      <x:c r="J126" s="30" t="n">
        <x:v>1</x:v>
      </x:c>
      <x:c r="K126" s="30" t="n">
        <x:v>3</x:v>
      </x:c>
      <x:c r="L126" s="30" t="n">
        <x:v>3</x:v>
      </x:c>
      <x:c r="M126" s="30" t="n">
        <x:v>1</x:v>
      </x:c>
      <x:c r="N126" s="30" t="n">
        <x:v>2</x:v>
      </x:c>
      <x:c r="O126" s="30" t="n">
        <x:v>2</x:v>
      </x:c>
      <x:c r="P126" s="30" t="n">
        <x:v>2</x:v>
      </x:c>
      <x:c r="Q126" s="30" t="n">
        <x:v>2</x:v>
      </x:c>
      <x:c r="R126" s="30" t="n">
        <x:v>1</x:v>
      </x:c>
      <x:c r="S126" s="30" t="n">
        <x:v>1</x:v>
      </x:c>
      <x:c r="T126" s="30" t="n">
        <x:v>2</x:v>
      </x:c>
      <x:c r="U126" s="34" t="n">
        <x:f>AVERAGE(G126:T126)</x:f>
        <x:v>1.5714285714285714</x:v>
      </x:c>
      <x:c r="V126" s="30" t="n">
        <x:f>COUNTIF(G126:T126,"&lt;=1")</x:f>
        <x:v>7</x:v>
      </x:c>
      <x:c r="W126" s="26" t="str">
        <x:v>Current operational status, data continuity, model evaluation, alert thresholds and overlap with SPIDTECH/PRIME</x:v>
      </x:c>
      <x:c r="X126" s="26" t="str">
        <x:v>High</x:v>
      </x:c>
      <x:c r="Y126" s="26" t="str">
        <x:v>Desk-review score; validate with developers, users and operational evidence</x:v>
      </x:c>
    </x:row>
    <x:row r="127" ht="44" customHeight="1">
      <x:c r="A127" s="26" t="str">
        <x:v>D2-123</x:v>
      </x:c>
      <x:c r="B127" s="26" t="str">
        <x:v>Coffee Automated Phenology and Harvest Estimator</x:v>
      </x:c>
      <x:c r="C127" s="26" t="str">
        <x:v>SUC–government research partnership</x:v>
      </x:c>
      <x:c r="D127" s="26" t="str">
        <x:v>Farm management &amp; decision support</x:v>
      </x:c>
      <x:c r="E127" s="26" t="str">
        <x:v>Status unverified</x:v>
      </x:c>
      <x:c r="F127" s="26" t="str">
        <x:v>Medium</x:v>
      </x:c>
      <x:c r="G127" s="30" t="n">
        <x:v>1</x:v>
      </x:c>
      <x:c r="H127" s="30" t="n">
        <x:v>0</x:v>
      </x:c>
      <x:c r="I127" s="30" t="n">
        <x:v>1</x:v>
      </x:c>
      <x:c r="J127" s="30" t="n">
        <x:v>1</x:v>
      </x:c>
      <x:c r="K127" s="30" t="n">
        <x:v>3</x:v>
      </x:c>
      <x:c r="L127" s="30" t="n">
        <x:v>3</x:v>
      </x:c>
      <x:c r="M127" s="30" t="n">
        <x:v>1</x:v>
      </x:c>
      <x:c r="N127" s="30" t="n">
        <x:v>2</x:v>
      </x:c>
      <x:c r="O127" s="30" t="n">
        <x:v>2</x:v>
      </x:c>
      <x:c r="P127" s="30" t="n">
        <x:v>2</x:v>
      </x:c>
      <x:c r="Q127" s="30" t="n">
        <x:v>2</x:v>
      </x:c>
      <x:c r="R127" s="30" t="n">
        <x:v>1</x:v>
      </x:c>
      <x:c r="S127" s="30" t="n">
        <x:v>1</x:v>
      </x:c>
      <x:c r="T127" s="30" t="n">
        <x:v>2</x:v>
      </x:c>
      <x:c r="U127" s="34" t="n">
        <x:f>AVERAGE(G127:T127)</x:f>
        <x:v>1.5714285714285714</x:v>
      </x:c>
      <x:c r="V127" s="30" t="n">
        <x:f>COUNTIF(G127:T127,"&lt;=1")</x:f>
        <x:v>7</x:v>
      </x:c>
      <x:c r="W127" s="26" t="str">
        <x:v>Linear-model limitations, current distribution, climate responsiveness and maintenance</x:v>
      </x:c>
      <x:c r="X127" s="26" t="str">
        <x:v>Low</x:v>
      </x:c>
      <x:c r="Y127" s="26" t="str">
        <x:v>Desk-review score; validate with developers, users and operational evidence</x:v>
      </x:c>
    </x:row>
    <x:row r="128" ht="44" customHeight="1">
      <x:c r="A128" s="26" t="str">
        <x:v>D2-124</x:v>
      </x:c>
      <x:c r="B128" s="26" t="str">
        <x:v>Banana Harvest Estimation Tool</x:v>
      </x:c>
      <x:c r="C128" s="26" t="str">
        <x:v>SUC–government research partnership</x:v>
      </x:c>
      <x:c r="D128" s="26" t="str">
        <x:v>Farm management &amp; decision support</x:v>
      </x:c>
      <x:c r="E128" s="26" t="str">
        <x:v>Status unverified</x:v>
      </x:c>
      <x:c r="F128" s="26" t="str">
        <x:v>Medium</x:v>
      </x:c>
      <x:c r="G128" s="30" t="n">
        <x:v>1</x:v>
      </x:c>
      <x:c r="H128" s="30" t="n">
        <x:v>0</x:v>
      </x:c>
      <x:c r="I128" s="30" t="n">
        <x:v>1</x:v>
      </x:c>
      <x:c r="J128" s="30" t="n">
        <x:v>1</x:v>
      </x:c>
      <x:c r="K128" s="30" t="n">
        <x:v>3</x:v>
      </x:c>
      <x:c r="L128" s="30" t="n">
        <x:v>3</x:v>
      </x:c>
      <x:c r="M128" s="30" t="n">
        <x:v>1</x:v>
      </x:c>
      <x:c r="N128" s="30" t="n">
        <x:v>2</x:v>
      </x:c>
      <x:c r="O128" s="30" t="n">
        <x:v>2</x:v>
      </x:c>
      <x:c r="P128" s="30" t="n">
        <x:v>2</x:v>
      </x:c>
      <x:c r="Q128" s="30" t="n">
        <x:v>2</x:v>
      </x:c>
      <x:c r="R128" s="30" t="n">
        <x:v>1</x:v>
      </x:c>
      <x:c r="S128" s="30" t="n">
        <x:v>1</x:v>
      </x:c>
      <x:c r="T128" s="30" t="n">
        <x:v>2</x:v>
      </x:c>
      <x:c r="U128" s="34" t="n">
        <x:f>AVERAGE(G128:T128)</x:f>
        <x:v>1.5714285714285714</x:v>
      </x:c>
      <x:c r="V128" s="30" t="n">
        <x:f>COUNTIF(G128:T128,"&lt;=1")</x:f>
        <x:v>7</x:v>
      </x:c>
      <x:c r="W128" s="26" t="str">
        <x:v>Linear-model limits, current availability, local calibration and maintenance</x:v>
      </x:c>
      <x:c r="X128" s="26" t="str">
        <x:v>Low</x:v>
      </x:c>
      <x:c r="Y128" s="26" t="str">
        <x:v>Desk-review score; validate with developers, users and operational evidence</x:v>
      </x:c>
    </x:row>
    <x:row r="129" ht="44" customHeight="1">
      <x:c r="A129" s="26" t="str">
        <x:v>D2-125</x:v>
      </x:c>
      <x:c r="B129" s="26" t="str">
        <x:v>Traco Cacao Traceability Application</x:v>
      </x:c>
      <x:c r="C129" s="26" t="str">
        <x:v>SUC–government–cooperative partnership</x:v>
      </x:c>
      <x:c r="D129" s="26" t="str">
        <x:v>Traceability, food safety &amp; MRV</x:v>
      </x:c>
      <x:c r="E129" s="26" t="str">
        <x:v>Pilot / technology transfer</x:v>
      </x:c>
      <x:c r="F129" s="26" t="str">
        <x:v>High</x:v>
      </x:c>
      <x:c r="G129" s="30" t="n">
        <x:v>1</x:v>
      </x:c>
      <x:c r="H129" s="30" t="n">
        <x:v>1</x:v>
      </x:c>
      <x:c r="I129" s="30" t="n">
        <x:v>2</x:v>
      </x:c>
      <x:c r="J129" s="30" t="n">
        <x:v>1</x:v>
      </x:c>
      <x:c r="K129" s="30" t="n">
        <x:v>1</x:v>
      </x:c>
      <x:c r="L129" s="30" t="n">
        <x:v>3</x:v>
      </x:c>
      <x:c r="M129" s="30" t="n">
        <x:v>2</x:v>
      </x:c>
      <x:c r="N129" s="30" t="n">
        <x:v>2</x:v>
      </x:c>
      <x:c r="O129" s="30" t="n">
        <x:v>3</x:v>
      </x:c>
      <x:c r="P129" s="30" t="n">
        <x:v>2</x:v>
      </x:c>
      <x:c r="Q129" s="30" t="n">
        <x:v>2</x:v>
      </x:c>
      <x:c r="R129" s="30" t="n">
        <x:v>1</x:v>
      </x:c>
      <x:c r="S129" s="30" t="n">
        <x:v>1</x:v>
      </x:c>
      <x:c r="T129" s="30" t="n">
        <x:v>2</x:v>
      </x:c>
      <x:c r="U129" s="34" t="n">
        <x:f>AVERAGE(G129:T129)</x:f>
        <x:v>1.7142857142857142</x:v>
      </x:c>
      <x:c r="V129" s="30" t="n">
        <x:f>COUNTIF(G129:T129,"&lt;=1")</x:f>
        <x:v>6</x:v>
      </x:c>
      <x:c r="W129" s="26" t="str">
        <x:v>Commercialization terms, interoperability, ledger governance, smallholder burden and long-term support</x:v>
      </x:c>
      <x:c r="X129" s="26" t="str">
        <x:v>High</x:v>
      </x:c>
      <x:c r="Y129" s="26" t="str">
        <x:v>Desk-review score; validate with developers, users and operational evidence</x:v>
      </x:c>
    </x:row>
    <x:row r="130" ht="44" customHeight="1">
      <x:c r="A130" s="26" t="str">
        <x:v>D2-126</x:v>
      </x:c>
      <x:c r="B130" s="26" t="str">
        <x:v>TALA Isdaan Fishpond Lease Agreement Monitoring System</x:v>
      </x:c>
      <x:c r="C130" s="26" t="str">
        <x:v>SUC–government research partnership</x:v>
      </x:c>
      <x:c r="D130" s="26" t="str">
        <x:v>Fisheries &amp; aquaculture</x:v>
      </x:c>
      <x:c r="E130" s="26" t="str">
        <x:v>Pilot / emerging</x:v>
      </x:c>
      <x:c r="F130" s="26" t="str">
        <x:v>High</x:v>
      </x:c>
      <x:c r="G130" s="30" t="n">
        <x:v>1</x:v>
      </x:c>
      <x:c r="H130" s="30" t="n">
        <x:v>1</x:v>
      </x:c>
      <x:c r="I130" s="30" t="n">
        <x:v>1</x:v>
      </x:c>
      <x:c r="J130" s="30" t="n">
        <x:v>1</x:v>
      </x:c>
      <x:c r="K130" s="30" t="n">
        <x:v>1</x:v>
      </x:c>
      <x:c r="L130" s="30" t="n">
        <x:v>3</x:v>
      </x:c>
      <x:c r="M130" s="30" t="n">
        <x:v>2</x:v>
      </x:c>
      <x:c r="N130" s="30" t="n">
        <x:v>2</x:v>
      </x:c>
      <x:c r="O130" s="30" t="n">
        <x:v>2</x:v>
      </x:c>
      <x:c r="P130" s="30" t="n">
        <x:v>2</x:v>
      </x:c>
      <x:c r="Q130" s="30" t="n">
        <x:v>2</x:v>
      </x:c>
      <x:c r="R130" s="30" t="n">
        <x:v>1</x:v>
      </x:c>
      <x:c r="S130" s="30" t="n">
        <x:v>1</x:v>
      </x:c>
      <x:c r="T130" s="30" t="n">
        <x:v>2</x:v>
      </x:c>
      <x:c r="U130" s="34" t="n">
        <x:f>AVERAGE(G130:T130)</x:f>
        <x:v>1.5714285714285714</x:v>
      </x:c>
      <x:c r="V130" s="30" t="n">
        <x:f>COUNTIF(G130:T130,"&lt;=1")</x:f>
        <x:v>7</x:v>
      </x:c>
      <x:c r="W130" s="26" t="str">
        <x:v>Authoritative FLA records, field validation, hosting, user roles and linkage to BFAR licensing</x:v>
      </x:c>
      <x:c r="X130" s="26" t="str">
        <x:v>High</x:v>
      </x:c>
      <x:c r="Y130" s="26" t="str">
        <x:v>Desk-review score; validate with developers, users and operational evidence</x:v>
      </x:c>
    </x:row>
    <x:row r="131" ht="44" customHeight="1">
      <x:c r="A131" s="26" t="str">
        <x:v>D2-127</x:v>
      </x:c>
      <x:c r="B131" s="26" t="str">
        <x:v>Pig Identification and Recording System</x:v>
      </x:c>
      <x:c r="C131" s="26" t="str">
        <x:v>National government training institution</x:v>
      </x:c>
      <x:c r="D131" s="26" t="str">
        <x:v>Farm management &amp; decision support</x:v>
      </x:c>
      <x:c r="E131" s="26" t="str">
        <x:v>Active / deployment</x:v>
      </x:c>
      <x:c r="F131" s="26" t="str">
        <x:v>High</x:v>
      </x:c>
      <x:c r="G131" s="30" t="n">
        <x:v>1</x:v>
      </x:c>
      <x:c r="H131" s="30" t="n">
        <x:v>2</x:v>
      </x:c>
      <x:c r="I131" s="30" t="n">
        <x:v>1</x:v>
      </x:c>
      <x:c r="J131" s="30" t="n">
        <x:v>1</x:v>
      </x:c>
      <x:c r="K131" s="30" t="n">
        <x:v>1</x:v>
      </x:c>
      <x:c r="L131" s="30" t="n">
        <x:v>2</x:v>
      </x:c>
      <x:c r="M131" s="30" t="n">
        <x:v>2</x:v>
      </x:c>
      <x:c r="N131" s="30" t="n">
        <x:v>2</x:v>
      </x:c>
      <x:c r="O131" s="30" t="n">
        <x:v>2</x:v>
      </x:c>
      <x:c r="P131" s="30" t="n">
        <x:v>3</x:v>
      </x:c>
      <x:c r="Q131" s="30" t="n">
        <x:v>2</x:v>
      </x:c>
      <x:c r="R131" s="30" t="n">
        <x:v>1</x:v>
      </x:c>
      <x:c r="S131" s="30" t="n">
        <x:v>2</x:v>
      </x:c>
      <x:c r="T131" s="30" t="n">
        <x:v>2</x:v>
      </x:c>
      <x:c r="U131" s="34" t="n">
        <x:f>AVERAGE(G131:T131)</x:f>
        <x:v>1.7142857142857142</x:v>
      </x:c>
      <x:c r="V131" s="30" t="n">
        <x:f>COUNTIF(G131:T131,"&lt;=1")</x:f>
        <x:v>5</x:v>
      </x:c>
      <x:c r="W131" s="26" t="str">
        <x:v>Distribution channel, data backup/export, animal ID standards, updates and linkage to BAI systems</x:v>
      </x:c>
      <x:c r="X131" s="26" t="str">
        <x:v>High</x:v>
      </x:c>
      <x:c r="Y131" s="26" t="str">
        <x:v>Desk-review score; validate with developers, users and operational evidence</x:v>
      </x:c>
    </x:row>
    <x:row r="132" ht="44" customHeight="1">
      <x:c r="A132" s="26" t="str">
        <x:v>D2-128</x:v>
      </x:c>
      <x:c r="B132" s="26" t="str">
        <x:v>Agri 360 Learning Sites Mapping Platform</x:v>
      </x:c>
      <x:c r="C132" s="26" t="str">
        <x:v>Regional government training institution</x:v>
      </x:c>
      <x:c r="D132" s="26" t="str">
        <x:v>Training, capacity &amp; innovation hubs</x:v>
      </x:c>
      <x:c r="E132" s="26" t="str">
        <x:v>Active / operational</x:v>
      </x:c>
      <x:c r="F132" s="26" t="str">
        <x:v>High</x:v>
      </x:c>
      <x:c r="G132" s="30" t="n">
        <x:v>2</x:v>
      </x:c>
      <x:c r="H132" s="30" t="n">
        <x:v>2</x:v>
      </x:c>
      <x:c r="I132" s="30" t="n">
        <x:v>1</x:v>
      </x:c>
      <x:c r="J132" s="30" t="n">
        <x:v>1</x:v>
      </x:c>
      <x:c r="K132" s="30" t="n">
        <x:v>3</x:v>
      </x:c>
      <x:c r="L132" s="30" t="n">
        <x:v>2</x:v>
      </x:c>
      <x:c r="M132" s="30" t="n">
        <x:v>1</x:v>
      </x:c>
      <x:c r="N132" s="30" t="n">
        <x:v>2</x:v>
      </x:c>
      <x:c r="O132" s="30" t="n">
        <x:v>2</x:v>
      </x:c>
      <x:c r="P132" s="30" t="n">
        <x:v>2</x:v>
      </x:c>
      <x:c r="Q132" s="30" t="n">
        <x:v>2</x:v>
      </x:c>
      <x:c r="R132" s="30" t="n">
        <x:v>1</x:v>
      </x:c>
      <x:c r="S132" s="30" t="n">
        <x:v>2</x:v>
      </x:c>
      <x:c r="T132" s="30" t="n">
        <x:v>2</x:v>
      </x:c>
      <x:c r="U132" s="34" t="n">
        <x:f>AVERAGE(G132:T132)</x:f>
        <x:v>1.7857142857142858</x:v>
      </x:c>
      <x:c r="V132" s="30" t="n">
        <x:f>COUNTIF(G132:T132,"&lt;=1")</x:f>
        <x:v>4</x:v>
      </x:c>
      <x:c r="W132" s="26" t="str">
        <x:v>Content updates, accessibility, user analytics, integration with national training records and scale beyond Region IV-A</x:v>
      </x:c>
      <x:c r="X132" s="26" t="str">
        <x:v>Medium</x:v>
      </x:c>
      <x:c r="Y132" s="26" t="str">
        <x:v>Desk-review score; validate with developers, users and operational evidence</x:v>
      </x:c>
    </x:row>
    <x:row r="133" ht="44" customHeight="1">
      <x:c r="A133" s="26" t="str">
        <x:v>D2-129</x:v>
      </x:c>
      <x:c r="B133" s="26" t="str">
        <x:v>DOST-PCAARRD Agri-Aqua Business Hub</x:v>
      </x:c>
      <x:c r="C133" s="26" t="str">
        <x:v>National government R&amp;D and market-support partnership</x:v>
      </x:c>
      <x:c r="D133" s="26" t="str">
        <x:v>Markets, e-commerce &amp; logistics</x:v>
      </x:c>
      <x:c r="E133" s="26" t="str">
        <x:v>Scaling / expansion planned</x:v>
      </x:c>
      <x:c r="F133" s="26" t="str">
        <x:v>High</x:v>
      </x:c>
      <x:c r="G133" s="30" t="n">
        <x:v>2</x:v>
      </x:c>
      <x:c r="H133" s="30" t="n">
        <x:v>0</x:v>
      </x:c>
      <x:c r="I133" s="30" t="n">
        <x:v>1</x:v>
      </x:c>
      <x:c r="J133" s="30" t="n">
        <x:v>1</x:v>
      </x:c>
      <x:c r="K133" s="30" t="n">
        <x:v>1</x:v>
      </x:c>
      <x:c r="L133" s="30" t="n">
        <x:v>3</x:v>
      </x:c>
      <x:c r="M133" s="30" t="n">
        <x:v>2</x:v>
      </x:c>
      <x:c r="N133" s="30" t="n">
        <x:v>2</x:v>
      </x:c>
      <x:c r="O133" s="30" t="n">
        <x:v>3</x:v>
      </x:c>
      <x:c r="P133" s="30" t="n">
        <x:v>2</x:v>
      </x:c>
      <x:c r="Q133" s="30" t="n">
        <x:v>2</x:v>
      </x:c>
      <x:c r="R133" s="30" t="n">
        <x:v>1</x:v>
      </x:c>
      <x:c r="S133" s="30" t="n">
        <x:v>1</x:v>
      </x:c>
      <x:c r="T133" s="30" t="n">
        <x:v>2</x:v>
      </x:c>
      <x:c r="U133" s="34" t="n">
        <x:f>AVERAGE(G133:T133)</x:f>
        <x:v>1.6428571428571428</x:v>
      </x:c>
      <x:c r="V133" s="30" t="n">
        <x:f>COUNTIF(G133:T133,"&lt;=1")</x:f>
        <x:v>6</x:v>
      </x:c>
      <x:c r="W133" s="26" t="str">
        <x:v>Current platform access, transaction conversion, governance, data freshness and interoperability</x:v>
      </x:c>
      <x:c r="X133" s="26" t="str">
        <x:v>Medium</x:v>
      </x:c>
      <x:c r="Y133" s="26" t="str">
        <x:v>Desk-review score; validate with developers, users and operational evidence</x:v>
      </x:c>
    </x:row>
    <x:row r="134" ht="44" customHeight="1">
      <x:c r="A134" s="26" t="str">
        <x:v>D2-130</x:v>
      </x:c>
      <x:c r="B134" s="26" t="str">
        <x:v>Yield Analytics for AgriBusiness Optimization and Networking Guide</x:v>
      </x:c>
      <x:c r="C134" s="26" t="str">
        <x:v>Government R&amp;D program</x:v>
      </x:c>
      <x:c r="D134" s="26" t="str">
        <x:v>Farm management &amp; decision support</x:v>
      </x:c>
      <x:c r="E134" s="26" t="str">
        <x:v>Planned / not yet operational</x:v>
      </x:c>
      <x:c r="F134" s="26" t="str">
        <x:v>High</x:v>
      </x:c>
      <x:c r="G134" s="30" t="n">
        <x:v>1</x:v>
      </x:c>
      <x:c r="H134" s="30" t="n">
        <x:v>1</x:v>
      </x:c>
      <x:c r="I134" s="30" t="n">
        <x:v>1</x:v>
      </x:c>
      <x:c r="J134" s="30" t="n">
        <x:v>1</x:v>
      </x:c>
      <x:c r="K134" s="30" t="n">
        <x:v>3</x:v>
      </x:c>
      <x:c r="L134" s="30" t="n">
        <x:v>2</x:v>
      </x:c>
      <x:c r="M134" s="30" t="n">
        <x:v>1</x:v>
      </x:c>
      <x:c r="N134" s="30" t="n">
        <x:v>2</x:v>
      </x:c>
      <x:c r="O134" s="30" t="n">
        <x:v>2</x:v>
      </x:c>
      <x:c r="P134" s="30" t="n">
        <x:v>2</x:v>
      </x:c>
      <x:c r="Q134" s="30" t="n">
        <x:v>2</x:v>
      </x:c>
      <x:c r="R134" s="30" t="n">
        <x:v>1</x:v>
      </x:c>
      <x:c r="S134" s="30" t="n">
        <x:v>1</x:v>
      </x:c>
      <x:c r="T134" s="30" t="n">
        <x:v>3</x:v>
      </x:c>
      <x:c r="U134" s="34" t="n">
        <x:f>AVERAGE(G134:T134)</x:f>
        <x:v>1.6428571428571428</x:v>
      </x:c>
      <x:c r="V134" s="30" t="n">
        <x:f>COUNTIF(G134:T134,"&lt;=1")</x:f>
        <x:v>7</x:v>
      </x:c>
      <x:c r="W134" s="26" t="str">
        <x:v>Funding, training data, ecological model validation, delivery ownership, offline design and market integration</x:v>
      </x:c>
      <x:c r="X134" s="26" t="str">
        <x:v>Medium</x:v>
      </x:c>
      <x:c r="Y134" s="26" t="str">
        <x:v>Desk-review score; validate with developers, users and operational evidence</x:v>
      </x:c>
    </x:row>
    <x:row r="135" ht="44" customHeight="1">
      <x:c r="A135" s="26" t="str">
        <x:v>D2-131</x:v>
      </x:c>
      <x:c r="B135" s="26" t="str">
        <x:v>Intelligent Rubber Insect Pests and Disease Diagnostic</x:v>
      </x:c>
      <x:c r="C135" s="26" t="str">
        <x:v>National research institute–government partnership</x:v>
      </x:c>
      <x:c r="D135" s="26" t="str">
        <x:v>Pest, disease &amp; biosecurity</x:v>
      </x:c>
      <x:c r="E135" s="26" t="str">
        <x:v>Active / operational</x:v>
      </x:c>
      <x:c r="F135" s="26" t="str">
        <x:v>High</x:v>
      </x:c>
      <x:c r="G135" s="30" t="n">
        <x:v>2</x:v>
      </x:c>
      <x:c r="H135" s="30" t="n">
        <x:v>2</x:v>
      </x:c>
      <x:c r="I135" s="30" t="n">
        <x:v>1</x:v>
      </x:c>
      <x:c r="J135" s="30" t="n">
        <x:v>1</x:v>
      </x:c>
      <x:c r="K135" s="30" t="n">
        <x:v>3</x:v>
      </x:c>
      <x:c r="L135" s="30" t="n">
        <x:v>3</x:v>
      </x:c>
      <x:c r="M135" s="30" t="n">
        <x:v>1</x:v>
      </x:c>
      <x:c r="N135" s="30" t="n">
        <x:v>2</x:v>
      </x:c>
      <x:c r="O135" s="30" t="n">
        <x:v>2</x:v>
      </x:c>
      <x:c r="P135" s="30" t="n">
        <x:v>2</x:v>
      </x:c>
      <x:c r="Q135" s="30" t="n">
        <x:v>2</x:v>
      </x:c>
      <x:c r="R135" s="30" t="n">
        <x:v>1</x:v>
      </x:c>
      <x:c r="S135" s="30" t="n">
        <x:v>2</x:v>
      </x:c>
      <x:c r="T135" s="30" t="n">
        <x:v>2</x:v>
      </x:c>
      <x:c r="U135" s="34" t="n">
        <x:f>AVERAGE(G135:T135)</x:f>
        <x:v>1.8571428571428572</x:v>
      </x:c>
      <x:c r="V135" s="30" t="n">
        <x:f>COUNTIF(G135:T135,"&lt;=1")</x:f>
        <x:v>4</x:v>
      </x:c>
      <x:c r="W135" s="26" t="str">
        <x:v>Model generalization, continuous labels, connectivity, expert capacity, governance and integration with crop-protection reporting</x:v>
      </x:c>
      <x:c r="X135" s="26" t="str">
        <x:v>High</x:v>
      </x:c>
      <x:c r="Y135" s="26" t="str">
        <x:v>Desk-review score; validate with developers, users and operational evidence</x:v>
      </x:c>
    </x:row>
    <x:row r="136" ht="48" customHeight="1">
      <x:c r="A136" s="26" t="str">
        <x:v>D2-132</x:v>
      </x:c>
      <x:c r="B136" s="26" t="str">
        <x:v>Philippine Native Pig Breed Information System</x:v>
      </x:c>
      <x:c r="C136" s="26" t="str">
        <x:v>SUC–government research partnership</x:v>
      </x:c>
      <x:c r="D136" s="26" t="str">
        <x:v>Farm management &amp; decision support</x:v>
      </x:c>
      <x:c r="E136" s="26" t="str">
        <x:v>Active / operational</x:v>
      </x:c>
      <x:c r="F136" s="26" t="str">
        <x:v>High</x:v>
      </x:c>
      <x:c r="G136" s="30" t="n">
        <x:v>2</x:v>
      </x:c>
      <x:c r="H136" s="30" t="n">
        <x:v>2</x:v>
      </x:c>
      <x:c r="I136" s="30" t="n">
        <x:v>1</x:v>
      </x:c>
      <x:c r="J136" s="30" t="n">
        <x:v>1</x:v>
      </x:c>
      <x:c r="K136" s="30" t="n">
        <x:v>2</x:v>
      </x:c>
      <x:c r="L136" s="30" t="n">
        <x:v>3</x:v>
      </x:c>
      <x:c r="M136" s="30" t="n">
        <x:v>2</x:v>
      </x:c>
      <x:c r="N136" s="30" t="n">
        <x:v>2</x:v>
      </x:c>
      <x:c r="O136" s="30" t="n">
        <x:v>2</x:v>
      </x:c>
      <x:c r="P136" s="30" t="n">
        <x:v>2</x:v>
      </x:c>
      <x:c r="Q136" s="30" t="n">
        <x:v>2</x:v>
      </x:c>
      <x:c r="R136" s="30" t="n">
        <x:v>2</x:v>
      </x:c>
      <x:c r="S136" s="30" t="n">
        <x:v>2</x:v>
      </x:c>
      <x:c r="T136" s="30" t="n">
        <x:v>2</x:v>
      </x:c>
      <x:c r="U136" s="34" t="n">
        <x:f>AVERAGE(G136:T136)</x:f>
        <x:v>1.9285714285714286</x:v>
      </x:c>
      <x:c r="V136" s="30" t="n">
        <x:f>COUNTIF(G136:T136,"&lt;=1")</x:f>
        <x:v>2</x:v>
      </x:c>
      <x:c r="W136" s="26" t="str">
        <x:v>Data freshness, participation beyond institutional farms, common animal IDs, API access and long-term maintenance</x:v>
      </x:c>
      <x:c r="X136" s="26" t="str">
        <x:v>High</x:v>
      </x:c>
      <x:c r="Y136" s="26" t="str">
        <x:v>Desk-review score; validate current participating farms, usage metrics, governance and technical interfaces</x:v>
      </x:c>
    </x:row>
    <x:row r="137" ht="48" customHeight="1">
      <x:c r="A137" s="26" t="str">
        <x:v>D2-133</x:v>
      </x:c>
      <x:c r="B137" s="26" t="str">
        <x:v>Philippine Native Chicken and Itik PINAS Breed Information System</x:v>
      </x:c>
      <x:c r="C137" s="26" t="str">
        <x:v>SUC–government research partnership</x:v>
      </x:c>
      <x:c r="D137" s="26" t="str">
        <x:v>Data infrastructure, interoperability &amp; dashboards</x:v>
      </x:c>
      <x:c r="E137" s="26" t="str">
        <x:v>Active / operational</x:v>
      </x:c>
      <x:c r="F137" s="26" t="str">
        <x:v>High</x:v>
      </x:c>
      <x:c r="G137" s="30" t="n">
        <x:v>2</x:v>
      </x:c>
      <x:c r="H137" s="30" t="n">
        <x:v>2</x:v>
      </x:c>
      <x:c r="I137" s="30" t="n">
        <x:v>1</x:v>
      </x:c>
      <x:c r="J137" s="30" t="n">
        <x:v>1</x:v>
      </x:c>
      <x:c r="K137" s="30" t="n">
        <x:v>1</x:v>
      </x:c>
      <x:c r="L137" s="30" t="n">
        <x:v>3</x:v>
      </x:c>
      <x:c r="M137" s="30" t="n">
        <x:v>2</x:v>
      </x:c>
      <x:c r="N137" s="30" t="n">
        <x:v>2</x:v>
      </x:c>
      <x:c r="O137" s="30" t="n">
        <x:v>1</x:v>
      </x:c>
      <x:c r="P137" s="30" t="n">
        <x:v>2</x:v>
      </x:c>
      <x:c r="Q137" s="30" t="n">
        <x:v>1</x:v>
      </x:c>
      <x:c r="R137" s="30" t="n">
        <x:v>2</x:v>
      </x:c>
      <x:c r="S137" s="30" t="n">
        <x:v>2</x:v>
      </x:c>
      <x:c r="T137" s="30" t="n">
        <x:v>2</x:v>
      </x:c>
      <x:c r="U137" s="34" t="n">
        <x:f>AVERAGE(G137:T137)</x:f>
        <x:v>1.7142857142857142</x:v>
      </x:c>
      <x:c r="V137" s="30" t="n">
        <x:f>COUNTIF(G137:T137,"&lt;=1")</x:f>
        <x:v>5</x:v>
      </x:c>
      <x:c r="W137" s="26" t="str">
        <x:v>Update frequency, machine-readable export, farm-level transaction linkage, API access and long-term data stewardship</x:v>
      </x:c>
      <x:c r="X137" s="26" t="str">
        <x:v>High</x:v>
      </x:c>
      <x:c r="Y137" s="26" t="str">
        <x:v>Desk-review score; validate update cycle, breeder usage, downloadable data and technical ownership</x:v>
      </x:c>
    </x:row>
  </x:sheetData>
  <x:mergeCells>
    <x:mergeCell ref="A1:Y1"/>
    <x:mergeCell ref="A2:Y2"/>
  </x:mergeCells>
  <x:conditionalFormatting sqref="G5:T135">
    <x:cfRule type="colorScale" priority="1">
      <x:colorScale>
        <x:cfvo type="min"/>
        <x:cfvo type="percentile" val="50"/>
        <x:cfvo type="max"/>
        <x:color rgb="FFF5C6C3"/>
        <x:color rgb="FFFFF0B3"/>
        <x:color rgb="FFC4E5B9"/>
      </x:colorScale>
    </x:cfRule>
  </x:conditionalFormatting>
  <x:conditionalFormatting sqref="U5:U135">
    <x:cfRule type="dataBar" priority="2">
      <x:dataBar>
        <x:cfvo type="min"/>
        <x:cfvo type="max"/>
        <x:color rgb="FF1F6E8C"/>
      </x:dataBar>
      <x:extLst>
        <x:ext xmlns:x14="http://schemas.microsoft.com/office/spreadsheetml/2009/9/main" uri="{B025F937-C7B1-47D3-B67F-A62EFF666E3E}">
          <x14:id>{69CFE3B1-DC90-F274-32A2-4F1C30B6F450}</x14:id>
        </x:ext>
      </x:extLst>
    </x:cfRule>
  </x:conditionalFormatting>
  <x:conditionalFormatting sqref="G136:T137">
    <x:cfRule type="colorScale" priority="3">
      <x:colorScale>
        <x:cfvo type="min"/>
        <x:cfvo type="percentile" val="50"/>
        <x:cfvo type="max"/>
        <x:color rgb="FFF5C6C3"/>
        <x:color rgb="FFFFF0B3"/>
        <x:color rgb="FFC4E5B9"/>
      </x:colorScale>
    </x:cfRule>
  </x:conditionalFormatting>
  <x:pageMargins left="0.7" right="0.7" top="0.75" bottom="0.75" header="0.3" footer="0.3"/>
  <x:tableParts count="1">
    <x:tablePart xmlns:r="http://schemas.openxmlformats.org/officeDocument/2006/relationships" r:id="R6196c04ce4624bc8"/>
  </x:tableParts>
  <x:extLst>
    <x:ext xmlns:x14="http://schemas.microsoft.com/office/spreadsheetml/2009/9/main" xmlns:xm="http://schemas.microsoft.com/office/excel/2006/main" uri="{78C0D931-6437-407d-A8EE-F0AAD7539E65}">
      <x14:conditionalFormattings>
        <x14:conditionalFormatting>
          <x14:cfRule type="dataBar" priority="2" id="{69CFE3B1-DC90-F274-32A2-4F1C30B6F450}">
            <x14:dataBar gradient="1">
              <x14:cfvo type="min"/>
              <x14:cfvo type="max"/>
              <x14:fillColor rgb="FF1F6E8C"/>
            </x14:dataBar>
          </x14:cfRule>
          <xm:sqref>U5:U135</xm:sqref>
        </x14:conditionalFormatting>
      </x14:conditionalFormattings>
    </x:ext>
  </x:extLst>
</x:worksheet>
</file>

<file path=xl/worksheets/sheet4.xml><?xml version="1.0" encoding="utf-8"?>
<x:worksheet xmlns:x="http://schemas.openxmlformats.org/spreadsheetml/2006/main">
  <x:sheetFormatPr defaultRowHeight="15"/>
  <x:cols>
    <x:col min="1" max="1" width="34" hidden="0" customWidth="1"/>
    <x:col min="2" max="2" width="50" hidden="0" customWidth="1"/>
    <x:col min="3" max="3" width="40" hidden="0" customWidth="1"/>
    <x:col min="4" max="4" width="58" hidden="0" customWidth="1"/>
  </x:cols>
  <x:sheetData>
    <x:row r="1" ht="36" customHeight="1">
      <x:c r="A1" s="4" t="str">
        <x:v>DATS 2.0 Taxonomy and Codebook</x:v>
      </x:c>
      <x:c r="B1" s="4" t="str">
        <x:v>DATS 2.0 Taxonomy and Codebook</x:v>
      </x:c>
      <x:c r="C1" s="4" t="str">
        <x:v>DATS 2.0 Taxonomy and Codebook</x:v>
      </x:c>
      <x:c r="D1" s="4" t="str">
        <x:v>DATS 2.0 Taxonomy and Codebook</x:v>
      </x:c>
    </x:row>
    <x:row r="2">
      <x:c r="A2" s="10" t="str">
        <x:v>Primary categories preserve distinct system counts. Secondary functional categories, commodity/species, value-chain and technology tags capture overlap without forcing multifunctional platforms into a single box.</x:v>
      </x:c>
      <x:c r="B2" s="10" t="str">
        <x:v>Primary categories preserve distinct system counts. Secondary functional categories, commodity/species, value-chain and technology tags capture overlap without forcing multifunctional platforms into a single box.</x:v>
      </x:c>
      <x:c r="C2" s="10" t="str">
        <x:v>Primary categories preserve distinct system counts. Secondary functional categories, commodity/species, value-chain and technology tags capture overlap without forcing multifunctional platforms into a single box.</x:v>
      </x:c>
      <x:c r="D2" s="10" t="str">
        <x:v>Primary categories preserve distinct system counts. Secondary functional categories, commodity/species, value-chain and technology tags capture overlap without forcing multifunctional platforms into a single box.</x:v>
      </x:c>
    </x:row>
    <x:row r="4">
      <x:c r="A4" s="18" t="str">
        <x:v>DATS 2.0 Category</x:v>
      </x:c>
      <x:c r="B4" s="18" t="str">
        <x:v>Definition</x:v>
      </x:c>
      <x:c r="C4" s="18" t="str">
        <x:v>Representative Systems</x:v>
      </x:c>
      <x:c r="D4" s="18" t="str">
        <x:v>Innovation beyond original DATS</x:v>
      </x:c>
    </x:row>
    <x:row r="5" ht="64" customHeight="1">
      <x:c r="A5" s="26" t="str">
        <x:v>Registry &amp; digital identity</x:v>
      </x:c>
      <x:c r="B5" s="26" t="str">
        <x:v>Farmer, fisher, enterprise, facility, vessel, equipment and credential registries.</x:v>
      </x:c>
      <x:c r="C5" s="26" t="str">
        <x:v>RSBSA, FFEDIS, FishR, BoatR, BAI E-Services</x:v>
      </x:c>
      <x:c r="D5" s="26" t="str">
        <x:v>Adds consent, deduplication, correction, federated identity and data-minimization requirements.</x:v>
      </x:c>
    </x:row>
    <x:row r="6" ht="64" customHeight="1">
      <x:c r="A6" s="26" t="str">
        <x:v>Advisory &amp; e-extension</x:v>
      </x:c>
      <x:c r="B6" s="26" t="str">
        <x:v>Knowledge, recommendations, expert support and digital learning.</x:v>
      </x:c>
      <x:c r="C6" s="26" t="str">
        <x:v>RCMAS, e-Extension, Farmers Contact Center, knowledge banks</x:v>
      </x:c>
      <x:c r="D6" s="26" t="str">
        <x:v>Measures comprehension, repeated use, adoption and outcomes—not content availability alone.</x:v>
      </x:c>
    </x:row>
    <x:row r="7" ht="64" customHeight="1">
      <x:c r="A7" s="26" t="str">
        <x:v>Farm management &amp; decision support</x:v>
      </x:c>
      <x:c r="B7" s="26" t="str">
        <x:v>Field records, planning, recommendations and operational workflows.</x:v>
      </x:c>
      <x:c r="C7" s="26" t="str">
        <x:v>PalayCheck, RCMAS, DigiSaka</x:v>
      </x:c>
      <x:c r="D7" s="26" t="str">
        <x:v>Requires portable, farmer-controlled farm and season records.</x:v>
      </x:c>
    </x:row>
    <x:row r="8" ht="64" customHeight="1">
      <x:c r="A8" s="26" t="str">
        <x:v>Climate, weather &amp; early warning</x:v>
      </x:c>
      <x:c r="B8" s="26" t="str">
        <x:v>Forecasts, risk maps, vulnerability and agro-climatic advisories.</x:v>
      </x:c>
      <x:c r="C8" s="26" t="str">
        <x:v>ACAP, AMIA-CRVA, AI4RP, NCCAG</x:v>
      </x:c>
      <x:c r="D8" s="26" t="str">
        <x:v>Adds uncertainty, validity period, action threshold and last-mile feedback fields.</x:v>
      </x:c>
    </x:row>
    <x:row r="9" ht="64" customHeight="1">
      <x:c r="A9" s="26" t="str">
        <x:v>Precision agriculture, EO, drones &amp; IoT</x:v>
      </x:c>
      <x:c r="B9" s="26" t="str">
        <x:v>Satellite/UAV monitoring, sensors, automation and targeted application.</x:v>
      </x:c>
      <x:c r="C9" s="26" t="str">
        <x:v>PRISM, Drones4Rice, AgriDOM, arQ</x:v>
      </x:c>
      <x:c r="D9" s="26" t="str">
        <x:v>Adds device identity, calibration, service logs, maintenance and total-cost evidence.</x:v>
      </x:c>
    </x:row>
    <x:row r="10" ht="64" customHeight="1">
      <x:c r="A10" s="26" t="str">
        <x:v>Pest, disease &amp; biosecurity</x:v>
      </x:c>
      <x:c r="B10" s="26" t="str">
        <x:v>Diagnosis, surveillance, forecasting and outbreak response.</x:v>
      </x:c>
      <x:c r="C10" s="26" t="str">
        <x:v>PRIME, SPIDTECH, e-Damuhan, PhilAHIS</x:v>
      </x:c>
      <x:c r="D10" s="26" t="str">
        <x:v>Requires confidence, expert escalation, labelled feedback and safe recommendations.</x:v>
      </x:c>
    </x:row>
    <x:row r="11" ht="64" customHeight="1">
      <x:c r="A11" s="26" t="str">
        <x:v>Inputs, seed &amp; nutrient tools</x:v>
      </x:c>
      <x:c r="B11" s="26" t="str">
        <x:v>Seed selection, fertilizer/soil advice and input marketplaces.</x:v>
      </x:c>
      <x:c r="C11" s="26" t="str">
        <x:v>Binhing Palay, MOET, LCC, GOEden</x:v>
      </x:c>
      <x:c r="D11" s="26" t="str">
        <x:v>Links advice to verified products, availability, cost and responsible use.</x:v>
      </x:c>
    </x:row>
    <x:row r="12" ht="64" customHeight="1">
      <x:c r="A12" s="26" t="str">
        <x:v>Mechanization &amp; equipment-as-a-service</x:v>
      </x:c>
      <x:c r="B12" s="26" t="str">
        <x:v>Equipment registries, rental/service delivery, drones and machinery monitoring.</x:v>
      </x:c>
      <x:c r="C12" s="26" t="str">
        <x:v>GEOAGRI, AgriDOM, Drones4Rice</x:v>
      </x:c>
      <x:c r="D12" s="26" t="str">
        <x:v>Tracks availability, utilization, maintenance, provider competency and safety.</x:v>
      </x:c>
    </x:row>
    <x:row r="13" ht="64" customHeight="1">
      <x:c r="A13" s="26" t="str">
        <x:v>Markets, e-commerce &amp; logistics</x:v>
      </x:c>
      <x:c r="B13" s="26" t="str">
        <x:v>Prices, buyers, storefronts, aggregation, delivery and cold chain.</x:v>
      </x:c>
      <x:c r="C13" s="26" t="str">
        <x:v>AFMIS, Mayani, KITA, Rural Rising</x:v>
      </x:c>
      <x:c r="D13" s="26" t="str">
        <x:v>Evaluates liquidity, repeat trade, farmer net price, rejection, spoilage and fulfillment.</x:v>
      </x:c>
    </x:row>
    <x:row r="14" ht="64" customHeight="1">
      <x:c r="A14" s="26" t="str">
        <x:v>Finance, insurance &amp; payments</x:v>
      </x:c>
      <x:c r="B14" s="26" t="str">
        <x:v>Credit, crowdfunding, insurance, payment and risk services.</x:v>
      </x:c>
      <x:c r="C14" s="26" t="str">
        <x:v>Cropital, PCIC CAPI</x:v>
      </x:c>
      <x:c r="D14" s="26" t="str">
        <x:v>Adds transparent terms, consented eligibility, complaints, claims time and financial outcomes.</x:v>
      </x:c>
    </x:row>
    <x:row r="15" ht="64" customHeight="1">
      <x:c r="A15" s="26" t="str">
        <x:v>Traceability, food safety &amp; MRV</x:v>
      </x:c>
      <x:c r="B15" s="26" t="str">
        <x:v>Chain-of-custody, compliance, catch/animal/produce records and sustainability evidence.</x:v>
      </x:c>
      <x:c r="C15" s="26" t="str">
        <x:v>eCDTS, ERS, HIDIS/TRACREG, DigiSaka</x:v>
      </x:c>
      <x:c r="D15" s="26" t="str">
        <x:v>Uses interoperable minimum datasets; blockchain is optional rather than assumed.</x:v>
      </x:c>
    </x:row>
    <x:row r="16" ht="64" customHeight="1">
      <x:c r="A16" s="26" t="str">
        <x:v>Fisheries &amp; aquaculture</x:v>
      </x:c>
      <x:c r="B16" s="26" t="str">
        <x:v>Fisher/vessel registries, catch reporting, stock assessment, water quality and feeding.</x:v>
      </x:c>
      <x:c r="C16" s="26" t="str">
        <x:v>FishR, BoatR, VMS, SAqFeeder, AqWANetIO</x:v>
      </x:c>
      <x:c r="D16" s="26" t="str">
        <x:v>Explicitly includes aquatic systems often missed by crop-centered reviews.</x:v>
      </x:c>
    </x:row>
    <x:row r="17" ht="64" customHeight="1">
      <x:c r="A17" s="26" t="str">
        <x:v>Data infrastructure, interoperability &amp; dashboards</x:v>
      </x:c>
      <x:c r="B17" s="26" t="str">
        <x:v>Catalogs, APIs, analytics, metadata, standards and integration services.</x:v>
      </x:c>
      <x:c r="C17" s="26" t="str">
        <x:v>D4AgPH, RiceLytics, eDECIDE, SINAG</x:v>
      </x:c>
      <x:c r="D17" s="26" t="str">
        <x:v>Makes APIs, governance, uptime, ownership and archival readiness first-class fields.</x:v>
      </x:c>
    </x:row>
    <x:row r="18" ht="64" customHeight="1">
      <x:c r="A18" s="26" t="str">
        <x:v>Training, capacity &amp; innovation hubs</x:v>
      </x:c>
      <x:c r="B18" s="26" t="str">
        <x:v>Digital literacy, demonstrations, testing, support and provider development.</x:v>
      </x:c>
      <x:c r="C18" s="26" t="str">
        <x:v>Digital Farmers Program, PreDiCt, 4DFarms</x:v>
      </x:c>
      <x:c r="D18" s="26" t="str">
        <x:v>Treats adoption capacity and provider ecosystems as part of the innovation.</x:v>
      </x:c>
    </x:row>
    <x:row r="19">
      <x:c r="A19" s="26"/>
      <x:c r="B19" s="26"/>
      <x:c r="C19" s="26"/>
      <x:c r="D19" s="26"/>
    </x:row>
    <x:row r="20">
      <x:c r="A20" s="44" t="str">
        <x:v>Technical Audit Codebook</x:v>
      </x:c>
      <x:c r="B20" s="44" t="str">
        <x:v>Technical Audit Codebook</x:v>
      </x:c>
      <x:c r="C20" s="44" t="str">
        <x:v>Technical Audit Codebook</x:v>
      </x:c>
      <x:c r="D20" s="44" t="str">
        <x:v>Technical Audit Codebook</x:v>
      </x:c>
    </x:row>
    <x:row r="21">
      <x:c r="A21" s="18" t="str">
        <x:v>Audit Field / Score</x:v>
      </x:c>
      <x:c r="B21" s="18" t="str">
        <x:v>Definition</x:v>
      </x:c>
      <x:c r="C21" s="18" t="str">
        <x:v>Interpretation</x:v>
      </x:c>
      <x:c r="D21" s="18" t="str">
        <x:v>SINAG Use</x:v>
      </x:c>
    </x:row>
    <x:row r="22" ht="64" customHeight="1">
      <x:c r="A22" s="26" t="str">
        <x:v>Public source availability</x:v>
      </x:c>
      <x:c r="B22" s="26" t="str">
        <x:v>Whether official source code, only a binary/app, a web interface, or no deployable software is publicly available.</x:v>
      </x:c>
      <x:c r="C22" s="26" t="str">
        <x:v>No repository located is not proof that the code is proprietary; it means institutional ownership and source access were not publicly verifiable.</x:v>
      </x:c>
      <x:c r="D22" s="26" t="str">
        <x:v>Determine whether code review, escrow, procurement clauses or developer access are required.</x:v>
      </x:c>
    </x:row>
    <x:row r="23" ht="64" customHeight="1">
      <x:c r="A23" s="26" t="str">
        <x:v>Official repository verification</x:v>
      </x:c>
      <x:c r="B23" s="26" t="str">
        <x:v>A repository is counted only when ownership is attributable to the institution/developer through authoritative evidence.</x:v>
      </x:c>
      <x:c r="C23" s="26" t="str">
        <x:v>A similarly named GitHub account is not accepted as official without institutional linkage.</x:v>
      </x:c>
      <x:c r="D23" s="26" t="str">
        <x:v>Prevents false attribution and unsafe reuse.</x:v>
      </x:c>
    </x:row>
    <x:row r="24" ht="64" customHeight="1">
      <x:c r="A24" s="26" t="n">
        <x:v>0</x:v>
      </x:c>
      <x:c r="B24" s="26" t="str">
        <x:v>No operational interoperability evidence or the system is only planned/legacy-concept.</x:v>
      </x:c>
      <x:c r="C24" s="26" t="str">
        <x:v>Not ready for data integration.</x:v>
      </x:c>
      <x:c r="D24" s="26" t="str">
        <x:v>Catalog or sandbox only.</x:v>
      </x:c>
    </x:row>
    <x:row r="25" ht="64" customHeight="1">
      <x:c r="A25" s="26" t="n">
        <x:v>1</x:v>
      </x:c>
      <x:c r="B25" s="26" t="str">
        <x:v>A public app/web interface exists, but no documented external API, portable export or reusable schema was found.</x:v>
      </x:c>
      <x:c r="C25" s="26" t="str">
        <x:v>User-facing availability without technical portability.</x:v>
      </x:c>
      <x:c r="D25" s="26" t="str">
        <x:v>Deep link/referral; require API/export roadmap.</x:v>
      </x:c>
    </x:row>
    <x:row r="26" ht="64" customHeight="1">
      <x:c r="A26" s="26" t="n">
        <x:v>2</x:v>
      </x:c>
      <x:c r="B26" s="26" t="str">
        <x:v>Internal integration, linked subsystems, sensors, maps or export behavior is documented, but public external interfaces remain incomplete.</x:v>
      </x:c>
      <x:c r="C26" s="26" t="str">
        <x:v>Moderate integration readiness with contractual and technical due diligence.</x:v>
      </x:c>
      <x:c r="D26" s="26" t="str">
        <x:v>Governed connector, scheduled exchange or pilot integration.</x:v>
      </x:c>
    </x:row>
    <x:row r="27" ht="64" customHeight="1">
      <x:c r="A27" s="26" t="n">
        <x:v>3</x:v>
      </x:c>
      <x:c r="B27" s="26" t="str">
        <x:v>Strong multi-system/regulatory integration or a defined API-oriented architecture is documented.</x:v>
      </x:c>
      <x:c r="C27" s="26" t="str">
        <x:v>Potentially integration-ready, although access may appropriately be restricted.</x:v>
      </x:c>
      <x:c r="D27" s="26" t="str">
        <x:v>Secure production connector with shared identifiers and audit controls.</x:v>
      </x:c>
    </x:row>
    <x:row r="28" ht="64" customHeight="1">
      <x:c r="A28" s="26" t="n">
        <x:v>4</x:v>
      </x:c>
      <x:c r="B28" s="26" t="str">
        <x:v>Official open source, license, schemas, versioned API documentation, authentication and portable export are publicly verifiable.</x:v>
      </x:c>
      <x:c r="C28" s="26" t="str">
        <x:v>High technical openness and portability.</x:v>
      </x:c>
      <x:c r="D28" s="26" t="str">
        <x:v>Reusable digital public infrastructure component.</x:v>
      </x:c>
    </x:row>
    <x:row r="29" ht="64" customHeight="1">
      <x:c r="A29" s="26" t="str">
        <x:v>Research prototype</x:v>
      </x:c>
      <x:c r="B29" s="26" t="str">
        <x:v>Published or demonstrated software/hardware that is not automatically treated as an active service.</x:v>
      </x:c>
      <x:c r="C29" s="26" t="str">
        <x:v>Evidence may establish feasibility but not operational scale, maintenance or impact.</x:v>
      </x:c>
      <x:c r="D29" s="26" t="str">
        <x:v>Use for sandboxing, comparison and technology transfer—not automatic national rollout.</x:v>
      </x:c>
    </x:row>
    <x:row r="31">
      <x:c r="A31" s="95" t="str">
        <x:v>Multi-Label Classification Rules</x:v>
      </x:c>
      <x:c r="B31" s="95" t="str">
        <x:v>Multi-Label Classification Rules</x:v>
      </x:c>
      <x:c r="C31" s="95" t="str">
        <x:v>Multi-Label Classification Rules</x:v>
      </x:c>
      <x:c r="D31" s="95" t="str">
        <x:v>Multi-Label Classification Rules</x:v>
      </x:c>
    </x:row>
    <x:row r="32">
      <x:c r="A32" s="82" t="str">
        <x:v>Field</x:v>
      </x:c>
      <x:c r="B32" s="82" t="str">
        <x:v>Rule</x:v>
      </x:c>
      <x:c r="C32" s="82" t="str">
        <x:v>Why It Matters</x:v>
      </x:c>
      <x:c r="D32" s="82" t="str">
        <x:v>Example</x:v>
      </x:c>
    </x:row>
    <x:row r="33" ht="64" customHeight="1">
      <x:c r="A33" s="26" t="str">
        <x:v>Primary category</x:v>
      </x:c>
      <x:c r="B33" s="26" t="str">
        <x:v>Assign one dominant function only.</x:v>
      </x:c>
      <x:c r="C33" s="26" t="str">
        <x:v>Supports distinct system totals and prevents double counting.</x:v>
      </x:c>
      <x:c r="D33" s="26" t="str">
        <x:v>DigiSaka: Farm management &amp; decision support.</x:v>
      </x:c>
    </x:row>
    <x:row r="34" ht="64" customHeight="1">
      <x:c r="A34" s="26" t="str">
        <x:v>Secondary categories</x:v>
      </x:c>
      <x:c r="B34" s="26" t="str">
        <x:v>Assign every additional material function.</x:v>
      </x:c>
      <x:c r="C34" s="26" t="str">
        <x:v>Represents multifunctional platforms without losing comparability.</x:v>
      </x:c>
      <x:c r="D34" s="26" t="str">
        <x:v>DigiSaka also covers registry, advisory, precision agriculture, markets, finance, traceability and data infrastructure.</x:v>
      </x:c>
    </x:row>
    <x:row r="35" ht="64" customHeight="1">
      <x:c r="A35" s="26" t="str">
        <x:v>Commodity / species tags</x:v>
      </x:c>
      <x:c r="B35" s="26" t="str">
        <x:v>Classify sectors independently of functional categories.</x:v>
      </x:c>
      <x:c r="C35" s="26" t="str">
        <x:v>Makes livestock, poultry, fisheries and commodity gaps visible.</x:v>
      </x:c>
      <x:c r="D35" s="26" t="str">
        <x:v>PIgS: Swine/native pig; PAB-IS Native Poultry: Poultry/chicken/duck.</x:v>
      </x:c>
    </x:row>
    <x:row r="36" ht="64" customHeight="1">
      <x:c r="A36" s="26" t="str">
        <x:v>Value-chain and technology tags</x:v>
      </x:c>
      <x:c r="B36" s="26" t="str">
        <x:v>Tag stages and implementation technologies separately.</x:v>
      </x:c>
      <x:c r="C36" s="26" t="str">
        <x:v>Supports service architecture, investment and interoperability analysis.</x:v>
      </x:c>
      <x:c r="D36" s="26" t="str">
        <x:v>A poultry prototype may be production + inputs, using Android + SMS + IoT.</x:v>
      </x:c>
    </x:row>
    <x:row r="37" ht="64" customHeight="1">
      <x:c r="A37" s="26" t="str">
        <x:v>Category Crosswalk</x:v>
      </x:c>
      <x:c r="B37" s="26" t="str">
        <x:v>Maintain one row per system–category relationship.</x:v>
      </x:c>
      <x:c r="C37" s="26" t="str">
        <x:v>Enables overlapping category counts, filtering and future pivot analysis.</x:v>
      </x:c>
      <x:c r="D37" s="26" t="str">
        <x:v>A single DigiSaka ID appears once for each covered functional category.</x:v>
      </x:c>
    </x:row>
  </x:sheetData>
  <x:mergeCells>
    <x:mergeCell ref="A1:D1"/>
    <x:mergeCell ref="A2:D2"/>
    <x:mergeCell ref="A20:D20"/>
    <x:mergeCell ref="A31:D31"/>
  </x:mergeCells>
  <x:pageMargins left="0.7" right="0.7" top="0.75" bottom="0.75" header="0.3" footer="0.3"/>
  <x:tableParts count="3">
    <x:tablePart xmlns:r="http://schemas.openxmlformats.org/officeDocument/2006/relationships" r:id="Ra8d8affea8b64413"/>
    <x:tablePart xmlns:r="http://schemas.openxmlformats.org/officeDocument/2006/relationships" r:id="R3a5577a4b2884ed3"/>
    <x:tablePart xmlns:r="http://schemas.openxmlformats.org/officeDocument/2006/relationships" r:id="Ra92d2374aba14356"/>
  </x:tableParts>
</x:worksheet>
</file>

<file path=xl/worksheets/sheet5.xml><?xml version="1.0" encoding="utf-8"?>
<x:worksheet xmlns:x="http://schemas.openxmlformats.org/spreadsheetml/2006/main">
  <x:sheetFormatPr defaultRowHeight="15"/>
  <x:cols>
    <x:col min="1" max="1" width="28" hidden="0" customWidth="1"/>
    <x:col min="2" max="2" width="44" hidden="0" customWidth="1"/>
    <x:col min="3" max="3" width="36" hidden="0" customWidth="1"/>
    <x:col min="4" max="4" width="42" hidden="0" customWidth="1"/>
    <x:col min="5" max="5" width="55" hidden="0" customWidth="1"/>
    <x:col min="6" max="6" width="36" hidden="0" customWidth="1"/>
    <x:col min="7" max="7" width="46" hidden="0" customWidth="1"/>
  </x:cols>
  <x:sheetData>
    <x:row r="1" ht="36" customHeight="1">
      <x:c r="A1" s="4" t="str">
        <x:v>Scaling Bottlenecks and Evidence-Based SINAG Responses</x:v>
      </x:c>
      <x:c r="B1" s="4" t="str">
        <x:v>Scaling Bottlenecks and Evidence-Based SINAG Responses</x:v>
      </x:c>
      <x:c r="C1" s="4" t="str">
        <x:v>Scaling Bottlenecks and Evidence-Based SINAG Responses</x:v>
      </x:c>
      <x:c r="D1" s="4" t="str">
        <x:v>Scaling Bottlenecks and Evidence-Based SINAG Responses</x:v>
      </x:c>
      <x:c r="E1" s="4" t="str">
        <x:v>Scaling Bottlenecks and Evidence-Based SINAG Responses</x:v>
      </x:c>
      <x:c r="F1" s="4" t="str">
        <x:v>Scaling Bottlenecks and Evidence-Based SINAG Responses</x:v>
      </x:c>
      <x:c r="G1" s="4" t="str">
        <x:v>Scaling Bottlenecks and Evidence-Based SINAG Responses</x:v>
      </x:c>
    </x:row>
    <x:row r="2">
      <x:c r="A2" s="10" t="str">
        <x:v>Cross-cutting synthesis from D4AgPH, PIDS, recent Philippine project reports, official platforms and research literature.</x:v>
      </x:c>
      <x:c r="B2" s="10" t="str">
        <x:v>Cross-cutting synthesis from D4AgPH, PIDS, recent Philippine project reports, official platforms and research literature.</x:v>
      </x:c>
      <x:c r="C2" s="10" t="str">
        <x:v>Cross-cutting synthesis from D4AgPH, PIDS, recent Philippine project reports, official platforms and research literature.</x:v>
      </x:c>
      <x:c r="D2" s="10" t="str">
        <x:v>Cross-cutting synthesis from D4AgPH, PIDS, recent Philippine project reports, official platforms and research literature.</x:v>
      </x:c>
      <x:c r="E2" s="10" t="str">
        <x:v>Cross-cutting synthesis from D4AgPH, PIDS, recent Philippine project reports, official platforms and research literature.</x:v>
      </x:c>
      <x:c r="F2" s="10" t="str">
        <x:v>Cross-cutting synthesis from D4AgPH, PIDS, recent Philippine project reports, official platforms and research literature.</x:v>
      </x:c>
      <x:c r="G2" s="10" t="str">
        <x:v>Cross-cutting synthesis from D4AgPH, PIDS, recent Philippine project reports, official platforms and research literature.</x:v>
      </x:c>
    </x:row>
    <x:row r="4">
      <x:c r="A4" s="18" t="str">
        <x:v>Bottleneck Theme</x:v>
      </x:c>
      <x:c r="B4" s="18" t="str">
        <x:v>Philippine Manifestation</x:v>
      </x:c>
      <x:c r="C4" s="18" t="str">
        <x:v>Most Affected Systems</x:v>
      </x:c>
      <x:c r="D4" s="18" t="str">
        <x:v>Why It Blocks Scaling</x:v>
      </x:c>
      <x:c r="E4" s="18" t="str">
        <x:v>SINAG / DATS 2.0 Response</x:v>
      </x:c>
      <x:c r="F4" s="18" t="str">
        <x:v>Suggested Indicator</x:v>
      </x:c>
      <x:c r="G4" s="18" t="str">
        <x:v>Priority Source</x:v>
      </x:c>
    </x:row>
    <x:row r="5" ht="76" customHeight="1">
      <x:c r="A5" s="26" t="str">
        <x:v>Connectivity and power</x:v>
      </x:c>
      <x:c r="B5" s="26" t="str">
        <x:v>Unreliable mobile data, weak rural coverage, device charging and data costs</x:v>
      </x:c>
      <x:c r="C5" s="26" t="str">
        <x:v>Apps, IoT, dashboards and e-commerce</x:v>
      </x:c>
      <x:c r="D5" s="26" t="str">
        <x:v>Interrupts workflows and excludes remote users</x:v>
      </x:c>
      <x:c r="E5" s="26" t="str">
        <x:v>Offline-first capture, delayed sync, SMS/voice fallbacks and lightweight interfaces</x:v>
      </x:c>
      <x:c r="F5" s="26" t="str">
        <x:v>% functions usable offline; sync success; data cost per workflow</x:v>
      </x:c>
      <x:c r="G5" s="32" t="str">
        <x:v>https://pidswebs.pids.gov.ph/CDN/document/pidsdps2329.pdf</x:v>
      </x:c>
    </x:row>
    <x:row r="6" ht="76" customHeight="1">
      <x:c r="A6" s="26" t="str">
        <x:v>Digital literacy and assisted use</x:v>
      </x:c>
      <x:c r="B6" s="26" t="str">
        <x:v>Many users need help with smartphones, apps, online safety and digital records</x:v>
      </x:c>
      <x:c r="C6" s="26" t="str">
        <x:v>Advisory, e-commerce, finance and registries</x:v>
      </x:c>
      <x:c r="D6" s="26" t="str">
        <x:v>Availability does not become confident repeated use</x:v>
      </x:c>
      <x:c r="E6" s="26" t="str">
        <x:v>Human-in-the-loop extension, Digital Farmers Program integration and simplified role-based design</x:v>
      </x:c>
      <x:c r="F6" s="26" t="str">
        <x:v>Activation; 30/90-day repeat use; task completion without assistance</x:v>
      </x:c>
      <x:c r="G6" s="32" t="str">
        <x:v>https://ati2.da.gov.ph/ati-car/content/article/bongbong-l-buli-e/digital-dawn-kalinga-rice-farmers-undergo-farm-learn-digital-technology</x:v>
      </x:c>
    </x:row>
    <x:row r="7" ht="76" customHeight="1">
      <x:c r="A7" s="26" t="str">
        <x:v>Affordability and business model</x:v>
      </x:c>
      <x:c r="B7" s="26" t="str">
        <x:v>Hardware, subscriptions, data, sensors, drones and maintenance can exceed farm capacity</x:v>
      </x:c>
      <x:c r="C7" s="26" t="str">
        <x:v>IoT, drones, SaaS and precision equipment</x:v>
      </x:c>
      <x:c r="D7" s="26" t="str">
        <x:v>Pilots stop after grants and small farms cannot justify ownership</x:v>
      </x:c>
      <x:c r="E7" s="26" t="str">
        <x:v>Shared-service and cluster models, transparent total cost and tiered pricing</x:v>
      </x:c>
      <x:c r="F7" s="26" t="str">
        <x:v>Cost/ha; willingness to pay; renewal rate; provider margin</x:v>
      </x:c>
      <x:c r="G7" s="32" t="str">
        <x:v>https://www.irri.org/news-and-events/news/da-bar-and-irri-launch-online-platform-ph-digital-ag-tools</x:v>
      </x:c>
    </x:row>
    <x:row r="8" ht="76" customHeight="1">
      <x:c r="A8" s="26" t="str">
        <x:v>Fragmented registries</x:v>
      </x:c>
      <x:c r="B8" s="26" t="str">
        <x:v>RSBSA, FishR, FFEDIS, program databases and private profiles can duplicate identities</x:v>
      </x:c>
      <x:c r="C8" s="26" t="str">
        <x:v>Registries, finance, insurance, extension and M&amp;E</x:v>
      </x:c>
      <x:c r="D8" s="26" t="str">
        <x:v>Repeated registration burdens users and produces inconsistent records</x:v>
      </x:c>
      <x:c r="E8" s="26" t="str">
        <x:v>Federated identity, consented reference IDs, deduplication and correction workflows</x:v>
      </x:c>
      <x:c r="F8" s="26" t="str">
        <x:v>Duplicate rate; match confidence; update latency; consent coverage</x:v>
      </x:c>
      <x:c r="G8" s="32" t="str">
        <x:v>https://pcaf.da.gov.ph/index.php/2020/06/01/da-lays-foundation-to-digitize-agri-fishery-repost/</x:v>
      </x:c>
    </x:row>
    <x:row r="9" ht="76" customHeight="1">
      <x:c r="A9" s="26" t="str">
        <x:v>Interoperability and standards</x:v>
      </x:c>
      <x:c r="B9" s="26" t="str">
        <x:v>Few public APIs and inconsistent farm, commodity, season and location identifiers</x:v>
      </x:c>
      <x:c r="C9" s="26" t="str">
        <x:v>All integrated systems</x:v>
      </x:c>
      <x:c r="D9" s="26" t="str">
        <x:v>Data cannot combine and agencies/vendors become silos</x:v>
      </x:c>
      <x:c r="E9" s="26" t="str">
        <x:v>Open minimum data standards, API registry, persistent IDs, exports and metadata</x:v>
      </x:c>
      <x:c r="F9" s="26" t="str">
        <x:v>% priority systems with documented API/export; successful exchanges</x:v>
      </x:c>
      <x:c r="G9" s="32" t="str">
        <x:v>https://www.irri.org/news-and-events/news/da-bar-and-irri-launch-online-platform-ph-digital-ag-tools</x:v>
      </x:c>
    </x:row>
    <x:row r="10" ht="76" customHeight="1">
      <x:c r="A10" s="26" t="str">
        <x:v>Data governance, privacy and trust</x:v>
      </x:c>
      <x:c r="B10" s="26" t="str">
        <x:v>Identity, financial, imagery, health and transaction data have unclear secondary-use rules</x:v>
      </x:c>
      <x:c r="C10" s="26" t="str">
        <x:v>Registries, fintech, insurance, EO and traceability</x:v>
      </x:c>
      <x:c r="D10" s="26" t="str">
        <x:v>Users and partners may resist sharing or suffer misuse</x:v>
      </x:c>
      <x:c r="E10" s="26" t="str">
        <x:v>Purpose limitation, consent registry, role-based access, audit logs and portability</x:v>
      </x:c>
      <x:c r="F10" s="26" t="str">
        <x:v>% records with lawful basis/consent; access incidents; export requests</x:v>
      </x:c>
      <x:c r="G10" s="32" t="str">
        <x:v>https://www.irri.org/news-and-events/news/philippines-stakeholders-are-charting-future-digital-agriculture</x:v>
      </x:c>
    </x:row>
    <x:row r="11" ht="76" customHeight="1">
      <x:c r="A11" s="26" t="str">
        <x:v>Weak impact evidence and M&amp;E</x:v>
      </x:c>
      <x:c r="B11" s="26" t="str">
        <x:v>Downloads and registrations are reported more often than adoption and outcomes</x:v>
      </x:c>
      <x:c r="C11" s="26" t="str">
        <x:v>Most DATS</x:v>
      </x:c>
      <x:c r="D11" s="26" t="str">
        <x:v>Decision makers cannot identify effective or cost-efficient tools</x:v>
      </x:c>
      <x:c r="E11" s="26" t="str">
        <x:v>Common chain: reach → active use → adoption → outcome → equity → cost</x:v>
      </x:c>
      <x:c r="F11" s="26" t="str">
        <x:v>% systems reporting adoption, outcomes, cost and disaggregation</x:v>
      </x:c>
      <x:c r="G11" s="32" t="str">
        <x:v>https://www.irri.org/news-and-events/news/da-bar-and-irri-launch-online-platform-ph-digital-ag-tools</x:v>
      </x:c>
    </x:row>
    <x:row r="12" ht="76" customHeight="1">
      <x:c r="A12" s="26" t="str">
        <x:v>Post-project maintenance</x:v>
      </x:c>
      <x:c r="B12" s="26" t="str">
        <x:v>Research platforms become outdated or disappear when projects end</x:v>
      </x:c>
      <x:c r="C12" s="26" t="str">
        <x:v>Government R&amp;D, SUC tools and project portals</x:v>
      </x:c>
      <x:c r="D12" s="26" t="str">
        <x:v>Users lose trust and duplicate replacements emerge</x:v>
      </x:c>
      <x:c r="E12" s="26" t="str">
        <x:v>Named product owner, maintenance budget, SLA, archival plan and source-code/escrow strategy</x:v>
      </x:c>
      <x:c r="F12" s="26" t="str">
        <x:v>% updated in 12 months; uptime; funded maintenance horizon</x:v>
      </x:c>
      <x:c r="G12" s="32" t="str">
        <x:v>https://pidswebs.pids.gov.ph/CDN/document/pidsdps2329.pdf</x:v>
      </x:c>
    </x:row>
    <x:row r="13" ht="76" customHeight="1">
      <x:c r="A13" s="26" t="str">
        <x:v>Last-mile advisory quality</x:v>
      </x:c>
      <x:c r="B13" s="26" t="str">
        <x:v>Maps/models may conflict, be too technical or lack action thresholds</x:v>
      </x:c>
      <x:c r="C13" s="26" t="str">
        <x:v>Climate, pest, soil, suitability and EO tools</x:v>
      </x:c>
      <x:c r="D13" s="26" t="str">
        <x:v>Information fails to become a timely field decision</x:v>
      </x:c>
      <x:c r="E13" s="26" t="str">
        <x:v>Versioned evidence, uncertainty, local rules, extension escalation and feedback</x:v>
      </x:c>
      <x:c r="F13" s="26" t="str">
        <x:v>Timeliness; comprehension; adoption; false-alert and missed-event rates</x:v>
      </x:c>
      <x:c r="G13" s="32" t="str">
        <x:v>https://pidswebs.pids.gov.ph/CDN/document/pidsdps2329.pdf</x:v>
      </x:c>
    </x:row>
    <x:row r="14" ht="76" customHeight="1">
      <x:c r="A14" s="26" t="str">
        <x:v>Market liquidity and logistics</x:v>
      </x:c>
      <x:c r="B14" s="26" t="str">
        <x:v>A digital storefront does not assure buyers, aggregation, quality, cold chain or working capital</x:v>
      </x:c>
      <x:c r="C14" s="26" t="str">
        <x:v>E-commerce and marketplaces</x:v>
      </x:c>
      <x:c r="D14" s="26" t="str">
        <x:v>Platforms fail without reliable physical operations and repeat trade</x:v>
      </x:c>
      <x:c r="E14" s="26" t="str">
        <x:v>Demand aggregation, service areas, quality standards, logistics and dispute data</x:v>
      </x:c>
      <x:c r="F14" s="26" t="str">
        <x:v>Fill rate; repeat buyers; rejection/spoilage; farmer net price</x:v>
      </x:c>
      <x:c r="G14" s="32" t="str">
        <x:v>https://pidswebs.pids.gov.ph/CDN/document/pidsdps2329.pdf</x:v>
      </x:c>
    </x:row>
    <x:row r="15" ht="76" customHeight="1">
      <x:c r="A15" s="26" t="str">
        <x:v>Skills and service-provider ecosystem</x:v>
      </x:c>
      <x:c r="B15" s="26" t="str">
        <x:v>Operators, technicians, agronomists and data stewards are insufficient</x:v>
      </x:c>
      <x:c r="C15" s="26" t="str">
        <x:v>Drones, IoT, AI and advanced advisory systems</x:v>
      </x:c>
      <x:c r="D15" s="26" t="str">
        <x:v>Systems cannot be deployed, calibrated, repaired or trusted</x:v>
      </x:c>
      <x:c r="E15" s="26" t="str">
        <x:v>Accredited provider registry, competency badges, local support and repair networks</x:v>
      </x:c>
      <x:c r="F15" s="26" t="str">
        <x:v>Certified providers; response time; downtime; training-to-use conversion</x:v>
      </x:c>
      <x:c r="G15" s="32" t="str">
        <x:v>https://www.irri.org/news-and-events/news/da-bar-and-irri-launch-online-platform-ph-digital-ag-tools</x:v>
      </x:c>
    </x:row>
    <x:row r="16" ht="76" customHeight="1">
      <x:c r="A16" s="26" t="str">
        <x:v>Regulation and liability</x:v>
      </x:c>
      <x:c r="B16" s="26" t="str">
        <x:v>Drone, pesticide, finance, insurance, data-sharing and traceability rules are complex</x:v>
      </x:c>
      <x:c r="C16" s="26" t="str">
        <x:v>Drones, fintech, regulated inputs and compliance systems</x:v>
      </x:c>
      <x:c r="D16" s="26" t="str">
        <x:v>Unclear responsibility slows adoption and raises risk</x:v>
      </x:c>
      <x:c r="E16" s="26" t="str">
        <x:v>Digital credentials, regulatory checklists, auditable logs and sandboxes</x:v>
      </x:c>
      <x:c r="F16" s="26" t="str">
        <x:v>Approval time; compliance exceptions; incidents; dispute-resolution time</x:v>
      </x:c>
      <x:c r="G16" s="32" t="str">
        <x:v>https://www.irri.org/news-and-events/news/irri-philrice-launch-drone-protocols-boost-rice-farming-philippines</x:v>
      </x:c>
    </x:row>
    <x:row r="17" ht="76" customHeight="1">
      <x:c r="A17" s="26" t="str">
        <x:v>Inclusion and equity</x:v>
      </x:c>
      <x:c r="B17" s="26" t="str">
        <x:v>Women, youth, tenants, indigenous groups, remote islands and poorest users may be underrepresented</x:v>
      </x:c>
      <x:c r="C17" s="26" t="str">
        <x:v>All user-facing systems</x:v>
      </x:c>
      <x:c r="D17" s="26" t="str">
        <x:v>Scale can deepen inequalities and bias decisions</x:v>
      </x:c>
      <x:c r="E17" s="26" t="str">
        <x:v>Disaggregated monitoring, local language, accessibility, assisted use and shared services</x:v>
      </x:c>
      <x:c r="F17" s="26" t="str">
        <x:v>Adoption/outcome gaps by sex, age, tenure, geography and farm size</x:v>
      </x:c>
      <x:c r="G17" s="32" t="str">
        <x:v>https://pidswebs.pids.gov.ph/CDN/document/pidsdps2329.pdf</x:v>
      </x:c>
    </x:row>
    <x:row r="18" ht="76" customHeight="1">
      <x:c r="A18" s="26" t="str">
        <x:v>Cybersecurity and resilience</x:v>
      </x:c>
      <x:c r="B18" s="26" t="str">
        <x:v>Account compromise, leakage, spoofing, ransomware and outages can disrupt critical services</x:v>
      </x:c>
      <x:c r="C18" s="26" t="str">
        <x:v>Registries, finance, IoT, government MIS and traceability</x:v>
      </x:c>
      <x:c r="D18" s="26" t="str">
        <x:v>Loss of trust and operational disruption</x:v>
      </x:c>
      <x:c r="E18" s="26" t="str">
        <x:v>Security baselines, privileged-role MFA, encryption, backups and incident response</x:v>
      </x:c>
      <x:c r="F18" s="26" t="str">
        <x:v>Incidents; recovery time; backup tests; access-review rate</x:v>
      </x:c>
      <x:c r="G18" s="32" t="str">
        <x:v>https://asti.dost.gov.ph/wp-content/uploads/ASTI-PPAs-2026-v2-FDL_17-June-26.pdf</x:v>
      </x:c>
    </x:row>
    <x:row r="19" ht="76" customHeight="1">
      <x:c r="A19" s="26" t="str">
        <x:v>Vendor lock-in and portability</x:v>
      </x:c>
      <x:c r="B19" s="26" t="str">
        <x:v>Proprietary farm, drone, sensor or marketplace data may be difficult to move</x:v>
      </x:c>
      <x:c r="C19" s="26" t="str">
        <x:v>Private SaaS, enterprise systems, IoT and drones</x:v>
      </x:c>
      <x:c r="D19" s="26" t="str">
        <x:v>Agencies and farmers become dependent and integration costs rise</x:v>
      </x:c>
      <x:c r="E19" s="26" t="str">
        <x:v>Contractual portability, open export formats, API clauses and modular procurement</x:v>
      </x:c>
      <x:c r="F19" s="26" t="str">
        <x:v>% systems with export/API clauses; migration time and cost</x:v>
      </x:c>
      <x:c r="G19" s="32" t="str">
        <x:v>https://www.irri.org/news-and-events/news/philippines-stakeholders-are-charting-future-digital-agriculture</x:v>
      </x:c>
    </x:row>
  </x:sheetData>
  <x:mergeCells>
    <x:mergeCell ref="A1:G1"/>
    <x:mergeCell ref="A2:G2"/>
  </x:mergeCells>
  <x:pageMargins left="0.7" right="0.7" top="0.75" bottom="0.75" header="0.3" footer="0.3"/>
  <x:tableParts count="1">
    <x:tablePart xmlns:r="http://schemas.openxmlformats.org/officeDocument/2006/relationships" r:id="R94131ebface741cc"/>
  </x:tableParts>
</x:worksheet>
</file>

<file path=xl/worksheets/sheet6.xml><?xml version="1.0" encoding="utf-8"?>
<x:worksheet xmlns:x="http://schemas.openxmlformats.org/spreadsheetml/2006/main">
  <x:sheetFormatPr defaultRowHeight="15"/>
  <x:cols>
    <x:col min="1" max="1" width="28" hidden="0" customWidth="1"/>
    <x:col min="2" max="2" width="44" hidden="0" customWidth="1"/>
    <x:col min="3" max="3" width="35" hidden="0" customWidth="1"/>
    <x:col min="4" max="4" width="42" hidden="0" customWidth="1"/>
    <x:col min="5" max="5" width="36" hidden="0" customWidth="1"/>
    <x:col min="6" max="6" width="56" hidden="0" customWidth="1"/>
    <x:col min="7" max="7" width="46" hidden="0" customWidth="1"/>
  </x:cols>
  <x:sheetData>
    <x:row r="1" ht="36" customHeight="1">
      <x:c r="A1" s="4" t="str">
        <x:v>SINAG Integration Map — Compile, Federate and Refer; Do Not Duplicate</x:v>
      </x:c>
      <x:c r="B1" s="4" t="str">
        <x:v>SINAG Integration Map — Compile, Federate and Refer; Do Not Duplicate</x:v>
      </x:c>
      <x:c r="C1" s="4" t="str">
        <x:v>SINAG Integration Map — Compile, Federate and Refer; Do Not Duplicate</x:v>
      </x:c>
      <x:c r="D1" s="4" t="str">
        <x:v>SINAG Integration Map — Compile, Federate and Refer; Do Not Duplicate</x:v>
      </x:c>
      <x:c r="E1" s="4" t="str">
        <x:v>SINAG Integration Map — Compile, Federate and Refer; Do Not Duplicate</x:v>
      </x:c>
      <x:c r="F1" s="4" t="str">
        <x:v>SINAG Integration Map — Compile, Federate and Refer; Do Not Duplicate</x:v>
      </x:c>
      <x:c r="G1" s="4" t="str">
        <x:v>SINAG Integration Map — Compile, Federate and Refer; Do Not Duplicate</x:v>
      </x:c>
    </x:row>
    <x:row r="2">
      <x:c r="A2" s="10" t="str">
        <x:v>Recommended architecture positions SINAG as a trusted catalog, orchestration, interoperability and evidence layer over existing public, private, research and community systems.</x:v>
      </x:c>
      <x:c r="B2" s="10" t="str">
        <x:v>Recommended architecture positions SINAG as a trusted catalog, orchestration, interoperability and evidence layer over existing public, private, research and community systems.</x:v>
      </x:c>
      <x:c r="C2" s="10" t="str">
        <x:v>Recommended architecture positions SINAG as a trusted catalog, orchestration, interoperability and evidence layer over existing public, private, research and community systems.</x:v>
      </x:c>
      <x:c r="D2" s="10" t="str">
        <x:v>Recommended architecture positions SINAG as a trusted catalog, orchestration, interoperability and evidence layer over existing public, private, research and community systems.</x:v>
      </x:c>
      <x:c r="E2" s="10" t="str">
        <x:v>Recommended architecture positions SINAG as a trusted catalog, orchestration, interoperability and evidence layer over existing public, private, research and community systems.</x:v>
      </x:c>
      <x:c r="F2" s="10" t="str">
        <x:v>Recommended architecture positions SINAG as a trusted catalog, orchestration, interoperability and evidence layer over existing public, private, research and community systems.</x:v>
      </x:c>
      <x:c r="G2" s="10" t="str">
        <x:v>Recommended architecture positions SINAG as a trusted catalog, orchestration, interoperability and evidence layer over existing public, private, research and community systems.</x:v>
      </x:c>
    </x:row>
    <x:row r="4">
      <x:c r="A4" s="18" t="str">
        <x:v>SINAG Layer</x:v>
      </x:c>
      <x:c r="B4" s="18" t="str">
        <x:v>Purpose</x:v>
      </x:c>
      <x:c r="C4" s="18" t="str">
        <x:v>Priority System Types</x:v>
      </x:c>
      <x:c r="D4" s="18" t="str">
        <x:v>Examples</x:v>
      </x:c>
      <x:c r="E4" s="18" t="str">
        <x:v>Integration Mode</x:v>
      </x:c>
      <x:c r="F4" s="18" t="str">
        <x:v>Minimum Requirement</x:v>
      </x:c>
      <x:c r="G4" s="18" t="str">
        <x:v>Main Risk to Avoid</x:v>
      </x:c>
    </x:row>
    <x:row r="5" ht="82" customHeight="1">
      <x:c r="A5" s="26" t="str">
        <x:v>1. Discovery and catalog</x:v>
      </x:c>
      <x:c r="B5" s="26" t="str">
        <x:v>Searchable directory of maintained tools, owners, status, geography, evidence and links</x:v>
      </x:c>
      <x:c r="C5" s="26" t="str">
        <x:v>All verified systems</x:v>
      </x:c>
      <x:c r="D5" s="26" t="str">
        <x:v>D4AgPH, DATS 2.0</x:v>
      </x:c>
      <x:c r="E5" s="26" t="str">
        <x:v>Metadata harvest, developer submission and validation</x:v>
      </x:c>
      <x:c r="F5" s="26" t="str">
        <x:v>Persistent ID, owner, status, version, contact, URL, evidence and last verified</x:v>
      </x:c>
      <x:c r="G5" s="26" t="str">
        <x:v>Becoming another static, outdated directory</x:v>
      </x:c>
    </x:row>
    <x:row r="6" ht="82" customHeight="1">
      <x:c r="A6" s="26" t="str">
        <x:v>2. Federated identity and consent</x:v>
      </x:c>
      <x:c r="B6" s="26" t="str">
        <x:v>Reuse verified identities while users control sharing</x:v>
      </x:c>
      <x:c r="C6" s="26" t="str">
        <x:v>Farmer, fisher, enterprise, vessel and facility registries</x:v>
      </x:c>
      <x:c r="D6" s="26" t="str">
        <x:v>RSBSA, FishR, FFEDIS, BoatR, BAI</x:v>
      </x:c>
      <x:c r="E6" s="26" t="str">
        <x:v>Secure status check, tokenized ID and consented exchange</x:v>
      </x:c>
      <x:c r="F6" s="26" t="str">
        <x:v>Purpose, lawful basis, minimum attributes, correction and audit log</x:v>
      </x:c>
      <x:c r="G6" s="26" t="str">
        <x:v>Centralizing all personal data without necessity</x:v>
      </x:c>
    </x:row>
    <x:row r="7" ht="82" customHeight="1">
      <x:c r="A7" s="26" t="str">
        <x:v>3. Geospatial and climate services</x:v>
      </x:c>
      <x:c r="B7" s="26" t="str">
        <x:v>Provide authoritative versioned spatial layers and forecasts</x:v>
      </x:c>
      <x:c r="C7" s="26" t="str">
        <x:v>EO, weather, risk, soil and suitability systems</x:v>
      </x:c>
      <x:c r="D7" s="26" t="str">
        <x:v>PRISM, ACAP, AMIA-CRVA, SARAi, AI4RP</x:v>
      </x:c>
      <x:c r="E7" s="26" t="str">
        <x:v>API, tile service or scheduled feed</x:v>
      </x:c>
      <x:c r="F7" s="26" t="str">
        <x:v>Geometry, date, method, resolution, uncertainty, version and license</x:v>
      </x:c>
      <x:c r="G7" s="26" t="str">
        <x:v>Displaying conflicting maps without provenance</x:v>
      </x:c>
    </x:row>
    <x:row r="8" ht="82" customHeight="1">
      <x:c r="A8" s="26" t="str">
        <x:v>4. Advisory orchestration</x:v>
      </x:c>
      <x:c r="B8" s="26" t="str">
        <x:v>Route users to personalized/general advice and human support</x:v>
      </x:c>
      <x:c r="C8" s="26" t="str">
        <x:v>Advisory, diagnostic and knowledge systems</x:v>
      </x:c>
      <x:c r="D8" s="26" t="str">
        <x:v>RCMAS, PalayCheck, MOET, SPIDTECH, e-Extension, FCC</x:v>
      </x:c>
      <x:c r="E8" s="26" t="str">
        <x:v>Deep link, API and case referral</x:v>
      </x:c>
      <x:c r="F8" s="26" t="str">
        <x:v>Consent, context, recommendation version, confidence and escalation</x:v>
      </x:c>
      <x:c r="G8" s="26" t="str">
        <x:v>Combining advice into unsafe contradictions</x:v>
      </x:c>
    </x:row>
    <x:row r="9" ht="82" customHeight="1">
      <x:c r="A9" s="26" t="str">
        <x:v>5. Farm and season record</x:v>
      </x:c>
      <x:c r="B9" s="26" t="str">
        <x:v>Portable minimum field, crop, input, water, operation and harvest record</x:v>
      </x:c>
      <x:c r="C9" s="26" t="str">
        <x:v>Farm-management systems</x:v>
      </x:c>
      <x:c r="D9" s="26" t="str">
        <x:v>DigiSaka, PalayCheck and private platforms</x:v>
      </x:c>
      <x:c r="E9" s="26" t="str">
        <x:v>Shared schema and farmer-controlled import/export</x:v>
      </x:c>
      <x:c r="F9" s="26" t="str">
        <x:v>User token, field, season, crop, events, evidence and ownership</x:v>
      </x:c>
      <x:c r="G9" s="26" t="str">
        <x:v>Vendor lock-in or collection without user value</x:v>
      </x:c>
    </x:row>
    <x:row r="10" ht="82" customHeight="1">
      <x:c r="A10" s="26" t="str">
        <x:v>6. Service marketplace</x:v>
      </x:c>
      <x:c r="B10" s="26" t="str">
        <x:v>Discover and request machinery, drones, diagnostics, logistics and extension</x:v>
      </x:c>
      <x:c r="C10" s="26" t="str">
        <x:v>Mechanization and service providers</x:v>
      </x:c>
      <x:c r="D10" s="26" t="str">
        <x:v>AgriDOM, GEOAGRI, Drones4Rice providers</x:v>
      </x:c>
      <x:c r="E10" s="26" t="str">
        <x:v>Provider registry, referral or booking API</x:v>
      </x:c>
      <x:c r="F10" s="26" t="str">
        <x:v>Credentials, coverage, price, availability, history and safety</x:v>
      </x:c>
      <x:c r="G10" s="26" t="str">
        <x:v>Unverified providers and opaque liability</x:v>
      </x:c>
    </x:row>
    <x:row r="11" ht="82" customHeight="1">
      <x:c r="A11" s="26" t="str">
        <x:v>7. Market and logistics exchange</x:v>
      </x:c>
      <x:c r="B11" s="26" t="str">
        <x:v>Connect supply, demand, prices, orders, aggregation and delivery</x:v>
      </x:c>
      <x:c r="C11" s="26" t="str">
        <x:v>Price and market platforms</x:v>
      </x:c>
      <x:c r="D11" s="26" t="str">
        <x:v>AFMIS, Mayani, KITA, Rural Rising, GOEden</x:v>
      </x:c>
      <x:c r="E11" s="26" t="str">
        <x:v>Price feed, opt-in listing and order referral</x:v>
      </x:c>
      <x:c r="F11" s="26" t="str">
        <x:v>Product, quantity, quality, location, date, terms and fulfillment</x:v>
      </x:c>
      <x:c r="G11" s="26" t="str">
        <x:v>Building a marketplace without logistics or repeat demand</x:v>
      </x:c>
    </x:row>
    <x:row r="12" ht="82" customHeight="1">
      <x:c r="A12" s="26" t="str">
        <x:v>8. Finance and insurance referrals</x:v>
      </x:c>
      <x:c r="B12" s="26" t="str">
        <x:v>Enable opt-in access to credit, insurance, payments and claims</x:v>
      </x:c>
      <x:c r="C12" s="26" t="str">
        <x:v>Fintech and insurers</x:v>
      </x:c>
      <x:c r="D12" s="26" t="str">
        <x:v>PCIC, Cropital and partner lenders</x:v>
      </x:c>
      <x:c r="E12" s="26" t="str">
        <x:v>Eligibility/status API and referral</x:v>
      </x:c>
      <x:c r="F12" s="26" t="str">
        <x:v>Consent, terms, reason, complaint channel and data minimization</x:v>
      </x:c>
      <x:c r="G12" s="26" t="str">
        <x:v>Automated exclusion or uncontrolled sharing</x:v>
      </x:c>
    </x:row>
    <x:row r="13" ht="82" customHeight="1">
      <x:c r="A13" s="26" t="str">
        <x:v>9. Traceability and compliance</x:v>
      </x:c>
      <x:c r="B13" s="26" t="str">
        <x:v>Create auditable chain-of-custody and verified credentials where needed</x:v>
      </x:c>
      <x:c r="C13" s="26" t="str">
        <x:v>Fisheries, livestock, food-safety and produce systems</x:v>
      </x:c>
      <x:c r="D13" s="26" t="str">
        <x:v>eCDTS, ERS, VMS, HIDIS/TRACREG, DigiSaka</x:v>
      </x:c>
      <x:c r="E13" s="26" t="str">
        <x:v>Event API, credential verification and QR reference</x:v>
      </x:c>
      <x:c r="F13" s="26" t="str">
        <x:v>Actor, item, event, location, time, source, correction and access rules</x:v>
      </x:c>
      <x:c r="G13" s="26" t="str">
        <x:v>Using blockchain as a substitute for data quality</x:v>
      </x:c>
    </x:row>
    <x:row r="14" ht="82" customHeight="1">
      <x:c r="A14" s="26" t="str">
        <x:v>10. Evidence and scaling observatory</x:v>
      </x:c>
      <x:c r="B14" s="26" t="str">
        <x:v>Track reach, active use, adoption, outcomes, equity, cost and reliability</x:v>
      </x:c>
      <x:c r="C14" s="26" t="str">
        <x:v>All publicly supported or partner systems</x:v>
      </x:c>
      <x:c r="D14" s="26" t="str">
        <x:v>DATS 2.0 Scaling Scan</x:v>
      </x:c>
      <x:c r="E14" s="26" t="str">
        <x:v>Common indicators, evidence upload and periodic review</x:v>
      </x:c>
      <x:c r="F14" s="26" t="str">
        <x:v>Baseline, denominator, method, date, disaggregation, outcome and confidence</x:v>
      </x:c>
      <x:c r="G14" s="26" t="str">
        <x:v>Ranking systems by downloads or self-reported claims</x:v>
      </x:c>
    </x:row>
    <x:row r="15" ht="82" customHeight="1">
      <x:c r="A15" s="26" t="str">
        <x:v>11. Developer and interoperability sandbox</x:v>
      </x:c>
      <x:c r="B15" s="26" t="str">
        <x:v>Test APIs, exchange, security, usability and offline workflows</x:v>
      </x:c>
      <x:c r="C15" s="26" t="str">
        <x:v>Public, private and SUC developers</x:v>
      </x:c>
      <x:c r="D15" s="26" t="str">
        <x:v>PreDiCt, eDECIDE, DOST-ASTI and DigiSaka pilots</x:v>
      </x:c>
      <x:c r="E15" s="26" t="str">
        <x:v>Sandbox, conformance tests and sample data</x:v>
      </x:c>
      <x:c r="F15" s="26" t="str">
        <x:v>OpenAPI spec, test identities, schema validation, privacy and security checks</x:v>
      </x:c>
      <x:c r="G15" s="26" t="str">
        <x:v>One-off integrations that only work with one vendor</x:v>
      </x:c>
    </x:row>
  </x:sheetData>
  <x:mergeCells>
    <x:mergeCell ref="A1:G1"/>
    <x:mergeCell ref="A2:G2"/>
  </x:mergeCells>
  <x:pageMargins left="0.7" right="0.7" top="0.75" bottom="0.75" header="0.3" footer="0.3"/>
  <x:tableParts count="1">
    <x:tablePart xmlns:r="http://schemas.openxmlformats.org/officeDocument/2006/relationships" r:id="R771f4d13df814b00"/>
  </x:tableParts>
</x:worksheet>
</file>

<file path=xl/worksheets/sheet7.xml><?xml version="1.0" encoding="utf-8"?>
<x:worksheet xmlns:x="http://schemas.openxmlformats.org/spreadsheetml/2006/main">
  <x:sheetFormatPr defaultRowHeight="15"/>
  <x:cols>
    <x:col min="1" max="1" width="9" hidden="0" customWidth="1"/>
    <x:col min="2" max="2" width="48" hidden="0" customWidth="1"/>
    <x:col min="3" max="3" width="27" hidden="0" customWidth="1"/>
    <x:col min="4" max="4" width="27" hidden="0" customWidth="1"/>
    <x:col min="5" max="5" width="49" hidden="0" customWidth="1"/>
    <x:col min="6" max="6" width="55" hidden="0" customWidth="1"/>
    <x:col min="7" max="7" width="52" hidden="0" customWidth="1"/>
    <x:col min="8" max="8" width="34" hidden="0" customWidth="1"/>
  </x:cols>
  <x:sheetData>
    <x:row r="1" ht="36" customHeight="1">
      <x:c r="A1" s="4" t="str">
        <x:v>Literature and Priority Source Register</x:v>
      </x:c>
      <x:c r="B1" s="4" t="str">
        <x:v>Literature and Priority Source Register</x:v>
      </x:c>
      <x:c r="C1" s="4" t="str">
        <x:v>Literature and Priority Source Register</x:v>
      </x:c>
      <x:c r="D1" s="4" t="str">
        <x:v>Literature and Priority Source Register</x:v>
      </x:c>
      <x:c r="E1" s="4" t="str">
        <x:v>Literature and Priority Source Register</x:v>
      </x:c>
      <x:c r="F1" s="4" t="str">
        <x:v>Literature and Priority Source Register</x:v>
      </x:c>
      <x:c r="G1" s="4" t="str">
        <x:v>Literature and Priority Source Register</x:v>
      </x:c>
      <x:c r="H1" s="4" t="str">
        <x:v>Literature and Priority Source Register</x:v>
      </x:c>
    </x:row>
    <x:row r="2">
      <x:c r="A2" s="10" t="str">
        <x:v>Priority references used to reconstruct the inventory, identify recent systems and prototypes, and redesign the scaling and interoperability framework.</x:v>
      </x:c>
      <x:c r="B2" s="10" t="str">
        <x:v>Priority references used to reconstruct the inventory, identify recent systems and prototypes, and redesign the scaling and interoperability framework.</x:v>
      </x:c>
      <x:c r="C2" s="10" t="str">
        <x:v>Priority references used to reconstruct the inventory, identify recent systems and prototypes, and redesign the scaling and interoperability framework.</x:v>
      </x:c>
      <x:c r="D2" s="10" t="str">
        <x:v>Priority references used to reconstruct the inventory, identify recent systems and prototypes, and redesign the scaling and interoperability framework.</x:v>
      </x:c>
      <x:c r="E2" s="10" t="str">
        <x:v>Priority references used to reconstruct the inventory, identify recent systems and prototypes, and redesign the scaling and interoperability framework.</x:v>
      </x:c>
      <x:c r="F2" s="10" t="str">
        <x:v>Priority references used to reconstruct the inventory, identify recent systems and prototypes, and redesign the scaling and interoperability framework.</x:v>
      </x:c>
      <x:c r="G2" s="10" t="str">
        <x:v>Priority references used to reconstruct the inventory, identify recent systems and prototypes, and redesign the scaling and interoperability framework.</x:v>
      </x:c>
      <x:c r="H2" s="10" t="str">
        <x:v>Priority references used to reconstruct the inventory, identify recent systems and prototypes, and redesign the scaling and interoperability framework.</x:v>
      </x:c>
    </x:row>
    <x:row r="4">
      <x:c r="A4" s="18" t="str">
        <x:v>Year</x:v>
      </x:c>
      <x:c r="B4" s="18" t="str">
        <x:v>Reference / Study</x:v>
      </x:c>
      <x:c r="C4" s="18" t="str">
        <x:v>Source Type</x:v>
      </x:c>
      <x:c r="D4" s="18" t="str">
        <x:v>Scope</x:v>
      </x:c>
      <x:c r="E4" s="18" t="str">
        <x:v>Contribution to DATS 2.0</x:v>
      </x:c>
      <x:c r="F4" s="18" t="str">
        <x:v>Key Scaling Evidence</x:v>
      </x:c>
      <x:c r="G4" s="18" t="str">
        <x:v>URL</x:v>
      </x:c>
      <x:c r="H4" s="18" t="str">
        <x:v>How Used</x:v>
      </x:c>
    </x:row>
    <x:row r="5" ht="80" customHeight="1">
      <x:c r="A5" s="26" t="n">
        <x:v>2023</x:v>
      </x:c>
      <x:c r="B5" s="26" t="str">
        <x:v>Transforming Philippine Agri-Food Systems with Digital Technology: Extent, Prospects, and Inclusiveness</x:v>
      </x:c>
      <x:c r="C5" s="26" t="str">
        <x:v>PIDS discussion paper</x:v>
      </x:c>
      <x:c r="D5" s="26" t="str">
        <x:v>National rapid assessment</x:v>
      </x:c>
      <x:c r="E5" s="26" t="str">
        <x:v>Baseline inventory across DSS, advisory, automation, fintech and e-commerce</x:v>
      </x:c>
      <x:c r="F5" s="26" t="str">
        <x:v>Digital divide, fragmentation, affordability, low adoption, inconsistent outputs and unified-portal need</x:v>
      </x:c>
      <x:c r="G5" s="32" t="str">
        <x:v>https://pidswebs.pids.gov.ph/CDN/document/pidsdps2329.pdf</x:v>
      </x:c>
      <x:c r="H5" s="26" t="str">
        <x:v>Core baseline and bottleneck evidence</x:v>
      </x:c>
    </x:row>
    <x:row r="6" ht="80" customHeight="1">
      <x:c r="A6" s="26" t="n">
        <x:v>2024</x:v>
      </x:c>
      <x:c r="B6" s="26" t="str">
        <x:v>DA-BAR and IRRI launch online platform for Philippine digital ag tools</x:v>
      </x:c>
      <x:c r="C6" s="26" t="str">
        <x:v>Official launch article</x:v>
      </x:c>
      <x:c r="D6" s="26" t="str">
        <x:v>National D4AgPH inventory</x:v>
      </x:c>
      <x:c r="E6" s="26" t="str">
        <x:v>Reports 67 tools, maturity, value-chain coverage and a 10-ingredient scaling scan</x:v>
      </x:c>
      <x:c r="F6" s="26" t="str">
        <x:v>Gaps in M&amp;E/evidence, supply-demand links and strategic collaboration</x:v>
      </x:c>
      <x:c r="G6" s="32" t="str">
        <x:v>https://www.irri.org/news-and-events/news/da-bar-and-irri-launch-online-platform-ph-digital-ag-tools</x:v>
      </x:c>
      <x:c r="H6" s="26" t="str">
        <x:v>Original DATS benchmark</x:v>
      </x:c>
    </x:row>
    <x:row r="7" ht="80" customHeight="1">
      <x:c r="A7" s="26" t="n">
        <x:v>2024</x:v>
      </x:c>
      <x:c r="B7" s="26" t="str">
        <x:v>D4AgPH entry in FAO Digital Village Initiative Knowledge Exchange</x:v>
      </x:c>
      <x:c r="C7" s="26" t="str">
        <x:v>International institutional profile</x:v>
      </x:c>
      <x:c r="D7" s="26" t="str">
        <x:v>National</x:v>
      </x:c>
      <x:c r="E7" s="26" t="str">
        <x:v>Describes searchable database, analytics, partners and operating stage</x:v>
      </x:c>
      <x:c r="F7" s="26" t="str">
        <x:v>Highlights maintenance and institutional collaboration needs</x:v>
      </x:c>
      <x:c r="G7" s="32" t="str">
        <x:v>https://dvi-ke.fao.org/digital_initiatives_details.php?id=96</x:v>
      </x:c>
      <x:c r="H7" s="26" t="str">
        <x:v>Independent institutional description</x:v>
      </x:c>
    </x:row>
    <x:row r="8" ht="80" customHeight="1">
      <x:c r="A8" s="26" t="n">
        <x:v>2024</x:v>
      </x:c>
      <x:c r="B8" s="26" t="str">
        <x:v>Philippine stakeholders chart the future of digital agriculture</x:v>
      </x:c>
      <x:c r="C8" s="26" t="str">
        <x:v>Official stakeholder synthesis</x:v>
      </x:c>
      <x:c r="D8" s="26" t="str">
        <x:v>National</x:v>
      </x:c>
      <x:c r="E8" s="26" t="str">
        <x:v>Identifies recent public and private systems including GloMIP, SARAi, KITA, GOEden, SIGLA and drones</x:v>
      </x:c>
      <x:c r="F8" s="26" t="str">
        <x:v>Digital literacy, infrastructure, data security, inclusion and collaboration</x:v>
      </x:c>
      <x:c r="G8" s="32" t="str">
        <x:v>https://www.irri.org/news-and-events/news/philippines-stakeholders-are-charting-future-digital-agriculture</x:v>
      </x:c>
      <x:c r="H8" s="26" t="str">
        <x:v>Recent system discovery</x:v>
      </x:c>
    </x:row>
    <x:row r="9" ht="80" customHeight="1">
      <x:c r="A9" s="26" t="n">
        <x:v>2024</x:v>
      </x:c>
      <x:c r="B9" s="26" t="str">
        <x:v>IRRI and PhilRice launch drone protocols to boost rice farming</x:v>
      </x:c>
      <x:c r="C9" s="26" t="str">
        <x:v>Official project article</x:v>
      </x:c>
      <x:c r="D9" s="26" t="str">
        <x:v>Rice / pilot regions</x:v>
      </x:c>
      <x:c r="E9" s="26" t="str">
        <x:v>Documents Drones4Rice protocols, partners, use cases and scaling intent</x:v>
      </x:c>
      <x:c r="F9" s="26" t="str">
        <x:v>Affordability, regulation, provider delivery and smallholder/farm-cluster scale</x:v>
      </x:c>
      <x:c r="G9" s="32" t="str">
        <x:v>https://www.irri.org/news-and-events/news/irri-philrice-launch-drone-protocols-boost-rice-farming-philippines</x:v>
      </x:c>
      <x:c r="H9" s="26" t="str">
        <x:v>Precision-agriculture case</x:v>
      </x:c>
    </x:row>
    <x:row r="10" ht="80" customHeight="1">
      <x:c r="A10" s="26" t="n">
        <x:v>2025</x:v>
      </x:c>
      <x:c r="B10" s="26" t="str">
        <x:v>A Review of Digital Technologies in Plant Disease and Pest Management within Philippine Agriculture</x:v>
      </x:c>
      <x:c r="C10" s="26" t="str">
        <x:v>Peer-reviewed review article</x:v>
      </x:c>
      <x:c r="D10" s="26" t="str">
        <x:v>Philippine plant health</x:v>
      </x:c>
      <x:c r="E10" s="26" t="str">
        <x:v>Synthesizes AI, remote sensing, IoT, GIS and diagnostic tools</x:v>
      </x:c>
      <x:c r="F10" s="26" t="str">
        <x:v>High cost, knowledge gaps, data privacy, interoperability, localization and policy support</x:v>
      </x:c>
      <x:c r="G10" s="32" t="str">
        <x:v>https://www.researchgate.net/profile/Joenil-Frayco/publication/392274343_A_Review_of_Digital_Technologies_in_Plant_Disease_and_Pest_Management_within_Philippine_Agriculture/links/687f329fb3294610e9b8f317/A-Review-of-Digital-Technologies-in-Plant-Disease-and-Pest-Management-within-Philippine_Agriculture.pdf</x:v>
      </x:c>
      <x:c r="H10" s="26" t="str">
        <x:v>Technical and governance synthesis</x:v>
      </x:c>
    </x:row>
    <x:row r="11" ht="80" customHeight="1">
      <x:c r="A11" s="26" t="n">
        <x:v>2025</x:v>
      </x:c>
      <x:c r="B11" s="26" t="str">
        <x:v>Digital Dawn in Kalinga: Farmers learn digital technologies</x:v>
      </x:c>
      <x:c r="C11" s="26" t="str">
        <x:v>Official training report</x:v>
      </x:c>
      <x:c r="D11" s="26" t="str">
        <x:v>Kalinga rice farmers</x:v>
      </x:c>
      <x:c r="E11" s="26" t="str">
        <x:v>Documents current training use of SPIDTECH, PhilRice apps, RCMAS, knowledge banks and drones</x:v>
      </x:c>
      <x:c r="F11" s="26" t="str">
        <x:v>Shows need for assisted literacy, hands-on practice and market applications</x:v>
      </x:c>
      <x:c r="G11" s="32" t="str">
        <x:v>https://ati2.da.gov.ph/ati-car/content/article/bongbong-l-buli-e/digital-dawn-kalinga-rice-farmers-undergo-farm-learn-digital-technology</x:v>
      </x:c>
      <x:c r="H11" s="26" t="str">
        <x:v>Evidence of active dissemination</x:v>
      </x:c>
    </x:row>
    <x:row r="12" ht="80" customHeight="1">
      <x:c r="A12" s="26" t="n">
        <x:v>2025</x:v>
      </x:c>
      <x:c r="B12" s="26" t="str">
        <x:v>Regional Digital Agriculture Initiatives in Cagayan Valley</x:v>
      </x:c>
      <x:c r="C12" s="26" t="str">
        <x:v>Official regional launch report</x:v>
      </x:c>
      <x:c r="D12" s="26" t="str">
        <x:v>Region II</x:v>
      </x:c>
      <x:c r="E12" s="26" t="str">
        <x:v>Documents DA DOS Analytics, RSBSA Finder, ACAP, soil maps, AgriDOM, FFEDIS and IDEA</x:v>
      </x:c>
      <x:c r="F12" s="26" t="str">
        <x:v>Illustrates regional innovation and potential architectural duplication</x:v>
      </x:c>
      <x:c r="G12" s="32" t="str">
        <x:v>https://cagayanvalley.da.gov.ph/2025/07/10/technology-nutrition-and-innovation-a-3-in-1-celebration-of-digital-agriculture-national-nutrition-month-food-revolution-region-02-champouradu/</x:v>
      </x:c>
      <x:c r="H12" s="26" t="str">
        <x:v>Recent government systems</x:v>
      </x:c>
    </x:row>
    <x:row r="13" ht="80" customHeight="1">
      <x:c r="A13" s="26" t="n">
        <x:v>2026</x:v>
      </x:c>
      <x:c r="B13" s="26" t="str">
        <x:v>DOST-ASTI Programs, Projects and Activities 2026</x:v>
      </x:c>
      <x:c r="C13" s="26" t="str">
        <x:v>Official project portfolio</x:v>
      </x:c>
      <x:c r="D13" s="26" t="str">
        <x:v>National R&amp;D</x:v>
      </x:c>
      <x:c r="E13" s="26" t="str">
        <x:v>Documents AI4RP, SAqFeeder, AqWANetIO, FASTRAC, eDECIDE, BlockSTART and COMPASS</x:v>
      </x:c>
      <x:c r="F13" s="26" t="str">
        <x:v>Operationalization, interoperability, commercialization and maintenance remain transition issues</x:v>
      </x:c>
      <x:c r="G13" s="32" t="str">
        <x:v>https://asti.dost.gov.ph/wp-content/uploads/ASTI-PPAs-2026-v2-FDL_17-June-26.pdf</x:v>
      </x:c>
      <x:c r="H13" s="26" t="str">
        <x:v>Recent and ongoing R&amp;D pipeline</x:v>
      </x:c>
    </x:row>
    <x:row r="14" ht="80" customHeight="1">
      <x:c r="A14" s="26" t="n">
        <x:v>2019</x:v>
      </x:c>
      <x:c r="B14" s="26" t="str">
        <x:v>Scaling—from reaching many to sustainable systems change</x:v>
      </x:c>
      <x:c r="C14" s="26" t="str">
        <x:v>Scaling framework</x:v>
      </x:c>
      <x:c r="D14" s="26" t="str">
        <x:v>Global; used in DATS</x:v>
      </x:c>
      <x:c r="E14" s="26" t="str">
        <x:v>Provides the scaling-ingredient logic adapted in DATS 2.0</x:v>
      </x:c>
      <x:c r="F14" s="26" t="str">
        <x:v>Technology is only one ingredient among finance, skills, evidence, leadership, value chains and governance</x:v>
      </x:c>
      <x:c r="G14" s="32" t="str">
        <x:v>https://link.springer.com/article/10.1007/s12571-019-00939-0</x:v>
      </x:c>
      <x:c r="H14" s="26" t="str">
        <x:v>Framework adaptation</x:v>
      </x:c>
    </x:row>
    <x:row r="15" ht="80" customHeight="1">
      <x:c r="A15" s="26" t="n">
        <x:v>2025</x:v>
      </x:c>
      <x:c r="B15" s="26" t="str">
        <x:v>Digital transformation in Philippine agribusiness: lessons from Agro-DigitalPH, KITA and Benguet Agri-Pinoy</x:v>
      </x:c>
      <x:c r="C15" s="26" t="str">
        <x:v>Industry case commentary</x:v>
      </x:c>
      <x:c r="D15" s="26" t="str">
        <x:v>Private agribusiness</x:v>
      </x:c>
      <x:c r="E15" s="26" t="str">
        <x:v>Surfaces recent private digital supply-chain cases</x:v>
      </x:c>
      <x:c r="F15" s="26" t="str">
        <x:v>Logistics, business-process redesign, trust and producer integration are central</x:v>
      </x:c>
      <x:c r="G15" s="32" t="str">
        <x:v>https://bworldonline.com/opinion/2025/04/30/669172/digital-transformation-in-philippine-agribusiness-lessons-from-agro-digitalph-kita-agritech-and-benguet-agri-pinoy/</x:v>
      </x:c>
      <x:c r="H15" s="26" t="str">
        <x:v>Private-sector discovery</x:v>
      </x:c>
    </x:row>
    <x:row r="16" ht="80" customHeight="1">
      <x:c r="A16" s="26" t="n">
        <x:v>2025</x:v>
      </x:c>
      <x:c r="B16" s="26" t="str">
        <x:v>DA Region 10 national iFARM implementation and training workshop</x:v>
      </x:c>
      <x:c r="C16" s="26" t="str">
        <x:v>Official government implementation report</x:v>
      </x:c>
      <x:c r="D16" s="26" t="str">
        <x:v>Multi-region farm attribution and DRRM</x:v>
      </x:c>
      <x:c r="E16" s="26" t="str">
        <x:v>Documents iFARM's real-time farm data, geo-mapping, climate, remote sensing, six pilot regions and rollout preparation.</x:v>
      </x:c>
      <x:c r="F16" s="26" t="str">
        <x:v>Shows that scaling depends on AEO/LGU ownership, data-update incentives and integration into regional digital frameworks.</x:v>
      </x:c>
      <x:c r="G16" s="32" t="str">
        <x:v>https://cagayandeoro.da.gov.ph/index.php/agri-10-hosts-natl-training-workshop-on-ifarm-system-to-strengthen-agri-info-and-disaster-preparedness/</x:v>
      </x:c>
      <x:c r="H16" s="26" t="str">
        <x:v>Added iFARM and strengthened government-interoperability analysis</x:v>
      </x:c>
    </x:row>
    <x:row r="17" ht="80" customHeight="1">
      <x:c r="A17" s="26" t="n">
        <x:v>2026</x:v>
      </x:c>
      <x:c r="B17" s="26" t="str">
        <x:v>DA-PhilRice Rice Apps directory and digital services</x:v>
      </x:c>
      <x:c r="C17" s="26" t="str">
        <x:v>Official institutional application directory</x:v>
      </x:c>
      <x:c r="D17" s="26" t="str">
        <x:v>Rice apps and information systems</x:v>
      </x:c>
      <x:c r="E17" s="26" t="str">
        <x:v>Provides authoritative links for PalayCheck, PRISM, PRIME, RSIS, RiceDIMS, Oryza GEMS, e-Damuhan, Binhing Palay, MOET, LCC and RCMAS.</x:v>
      </x:c>
      <x:c r="F17" s="26" t="str">
        <x:v>Shows a broad app ecosystem but limited public source-code/API documentation.</x:v>
      </x:c>
      <x:c r="G17" s="32" t="str">
        <x:v>https://www.philrice.gov.ph/rice-apps/</x:v>
      </x:c>
      <x:c r="H17" s="26" t="str">
        <x:v>Verified and expanded the PhilRice ecosystem</x:v>
      </x:c>
    </x:row>
    <x:row r="18" ht="80" customHeight="1">
      <x:c r="A18" s="26" t="n">
        <x:v>2022</x:v>
      </x:c>
      <x:c r="B18" s="26" t="str">
        <x:v>DA-PhilRice digital transformation portfolio</x:v>
      </x:c>
      <x:c r="C18" s="26" t="str">
        <x:v>Official institutional strategy article</x:v>
      </x:c>
      <x:c r="D18" s="26" t="str">
        <x:v>Rice digital extension, data and apps</x:v>
      </x:c>
      <x:c r="E18" s="26" t="str">
        <x:v>Documents Open Academy, Text Center, AgriDOC, RCMAS, Bantay Palay, ePaalala, StatLab, RiceLytics and PRISM.</x:v>
      </x:c>
      <x:c r="F18" s="26" t="str">
        <x:v>Highlights platform evolution, farmer registration/georeferencing and risk of legacy overlap.</x:v>
      </x:c>
      <x:c r="G18" s="32" t="str">
        <x:v>https://www.philrice.gov.ph/philrice-digital-transformation/</x:v>
      </x:c>
      <x:c r="H18" s="26" t="str">
        <x:v>Added legacy and emerging PhilRice services</x:v>
      </x:c>
    </x:row>
    <x:row r="19" ht="80" customHeight="1">
      <x:c r="A19" s="26" t="n">
        <x:v>2026</x:v>
      </x:c>
      <x:c r="B19" s="26" t="str">
        <x:v>PhilRice builds an AI ecosystem for smarter rice farming</x:v>
      </x:c>
      <x:c r="C19" s="26" t="str">
        <x:v>Official institutional AI article</x:v>
      </x:c>
      <x:c r="D19" s="26" t="str">
        <x:v>Rice AI and knowledge services</x:v>
      </x:c>
      <x:c r="E19" s="26" t="str">
        <x:v>Describes Pal ai, multilingual RAG, modular integration and planned offline voice/LGU knowledge services.</x:v>
      </x:c>
      <x:c r="F19" s="26" t="str">
        <x:v>Raises requirements for model evaluation, knowledge versioning, citations, privacy and expert escalation.</x:v>
      </x:c>
      <x:c r="G19" s="32" t="str">
        <x:v>https://www.philrice.gov.ph/philrice-builds-ai-ecosystem-for-smarter-rice-farming/</x:v>
      </x:c>
      <x:c r="H19" s="26" t="str">
        <x:v>Added Pal ai and responsible-AI/interoperability fields</x:v>
      </x:c>
    </x:row>
    <x:row r="20" ht="80" customHeight="1">
      <x:c r="A20" s="26" t="n">
        <x:v>2025</x:v>
      </x:c>
      <x:c r="B20" s="26" t="str">
        <x:v>Enhanced Rice Seed Information System nationwide rollout</x:v>
      </x:c>
      <x:c r="C20" s="26" t="str">
        <x:v>Official institutional rollout report</x:v>
      </x:c>
      <x:c r="D20" s="26" t="str">
        <x:v>National rice seed system</x:v>
      </x:c>
      <x:c r="E20" s="26" t="str">
        <x:v>Documents national-scale digitalization of seed certification, storage and distribution.</x:v>
      </x:c>
      <x:c r="F20" s="26" t="str">
        <x:v>Demonstrates multi-agency subsystem integration and need for stable seed-lot identifiers and exports.</x:v>
      </x:c>
      <x:c r="G20" s="32" t="str">
        <x:v>https://www.philrice.gov.ph/da-philrice-bpi-roll-out-enhanced-rice-seed-information-system-nationwide/</x:v>
      </x:c>
      <x:c r="H20" s="26" t="str">
        <x:v>Added RSIS and its component applications</x:v>
      </x:c>
    </x:row>
    <x:row r="21" ht="80" customHeight="1">
      <x:c r="A21" s="26" t="n">
        <x:v>2025</x:v>
      </x:c>
      <x:c r="B21" s="26" t="str">
        <x:v>DOST-PCAARRD and USeP cacao traceability system</x:v>
      </x:c>
      <x:c r="C21" s="26" t="str">
        <x:v>Official R&amp;D and technology-transfer report</x:v>
      </x:c>
      <x:c r="D21" s="26" t="str">
        <x:v>Southern Philippine cacao value chain</x:v>
      </x:c>
      <x:c r="E21" s="26" t="str">
        <x:v>Documents Traco, CTE/KDE traceability, blockchain-backed storage, training and commercialization arrangement.</x:v>
      </x:c>
      <x:c r="F21" s="26" t="str">
        <x:v>Shows that technical standards, cooperative rights, commercial exclusivity and long-term support matter for scale.</x:v>
      </x:c>
      <x:c r="G21" s="32" t="str">
        <x:v>https://www.pcaarrd.dost.gov.ph/index.php/quick-information-dispatch-qid-articles/dost-pcaarrd-and-usep-advance-cacao-traceability-system-in-southern-philippines</x:v>
      </x:c>
      <x:c r="H21" s="26" t="str">
        <x:v>Added Traco and traceability interoperability assessment</x:v>
      </x:c>
    </x:row>
    <x:row r="22" ht="80" customHeight="1">
      <x:c r="A22" s="26" t="n">
        <x:v>2024</x:v>
      </x:c>
      <x:c r="B22" s="26" t="str">
        <x:v>DOST-PCAARRD SARAi technologies at ISCENE</x:v>
      </x:c>
      <x:c r="C22" s="26" t="str">
        <x:v>Official R&amp;D showcase</x:v>
      </x:c>
      <x:c r="D22" s="26" t="str">
        <x:v>Multi-crop monitoring, diagnostics and LGU remote sensing</x:v>
      </x:c>
      <x:c r="E22" s="26" t="str">
        <x:v>Documents SPIDTECH, Bantay SARAi and CL-SEAMS using free satellite data, QGIS and Google Earth Engine.</x:v>
      </x:c>
      <x:c r="F22" s="26" t="str">
        <x:v>Shows potential for lower-cost adoption but persistent skills, workflow-reproducibility and maintenance needs.</x:v>
      </x:c>
      <x:c r="G22" s="32" t="str">
        <x:v>https://www.pcaarrd.dost.gov.ph/index.php/quick-information-dispatch-qid-articles/dost-pcaarrd-supported-r-d-initiatives-showcased-at-iscene-2024s-breakout-sessions</x:v>
      </x:c>
      <x:c r="H22" s="26" t="str">
        <x:v>Added monitoring subsystems and open-dependency assessment</x:v>
      </x:c>
    </x:row>
    <x:row r="23" ht="80" customHeight="1">
      <x:c r="A23" s="26" t="n">
        <x:v>2026</x:v>
      </x:c>
      <x:c r="B23" s="26" t="str">
        <x:v>AI-based rubber diagnostic system IRISDD</x:v>
      </x:c>
      <x:c r="C23" s="26" t="str">
        <x:v>Official R&amp;D deployment report</x:v>
      </x:c>
      <x:c r="D23" s="26" t="str">
        <x:v>Rubber pests and diseases</x:v>
      </x:c>
      <x:c r="E23" s="26" t="str">
        <x:v>Documents mobile diagnosis, central database, online clinic, 50,000 images and plantation surveillance.</x:v>
      </x:c>
      <x:c r="F23" s="26" t="str">
        <x:v>Highlights model validation, data governance, expert workload and surveillance-system integration.</x:v>
      </x:c>
      <x:c r="G23" s="32" t="str">
        <x:v>https://www.pcaarrd.dost.gov.ph/index.php/quick-information-dispatch-qid-articles/artificial-intelligence-based-detection-system-developed-to-manage-rubber-diseases-and-insect-pests</x:v>
      </x:c>
      <x:c r="H23" s="26" t="str">
        <x:v>Added IRISDD to the main inventory</x:v>
      </x:c>
    </x:row>
    <x:row r="24" ht="80" customHeight="1">
      <x:c r="A24" s="26" t="n">
        <x:v>2025</x:v>
      </x:c>
      <x:c r="B24" s="26" t="str">
        <x:v>ATI Sustainable Agriculture Forum digital innovations</x:v>
      </x:c>
      <x:c r="C24" s="26" t="str">
        <x:v>Official training and innovation report</x:v>
      </x:c>
      <x:c r="D24" s="26" t="str">
        <x:v>Cross-sector extension and livestock</x:v>
      </x:c>
      <x:c r="E24" s="26" t="str">
        <x:v>Documents Agri 360 and the PIgS farm-record application.</x:v>
      </x:c>
      <x:c r="F24" s="26" t="str">
        <x:v>Shows the role of specialized training institutions in adoption and data stewardship.</x:v>
      </x:c>
      <x:c r="G24" s="32" t="str">
        <x:v>https://ati-main.da.gov.ph/ati-main/latest-news/2025-sustainable-agriculture-forum-highlights-innovative-solutions-resilience-and</x:v>
      </x:c>
      <x:c r="H24" s="26" t="str">
        <x:v>Added PIgS and Agri 360</x:v>
      </x:c>
    </x:row>
    <x:row r="25" ht="80" customHeight="1">
      <x:c r="A25" s="26" t="n">
        <x:v>2026</x:v>
      </x:c>
      <x:c r="B25" s="26" t="str">
        <x:v>FAO Digital Village Initiative profile of AutoMonPH</x:v>
      </x:c>
      <x:c r="C25" s="26" t="str">
        <x:v>International institutional solution profile</x:v>
      </x:c>
      <x:c r="D25" s="26" t="str">
        <x:v>Rice water management and AWD</x:v>
      </x:c>
      <x:c r="E25" s="26" t="str">
        <x:v>Classifies AutoMonPH as an IoT/web irrigation and carbon-labeling solution at commercial stage and nationwide scope.</x:v>
      </x:c>
      <x:c r="F25" s="26" t="str">
        <x:v>Highlights sensor maintenance, verification, multi-stakeholder exchange and transaction-cost reduction.</x:v>
      </x:c>
      <x:c r="G25" s="32" t="str">
        <x:v>https://dvi-ke.fao.org/digital_solutions_details.php?id=639</x:v>
      </x:c>
      <x:c r="H25" s="26" t="str">
        <x:v>Added AutoMonPH and IoT interoperability assessment</x:v>
      </x:c>
    </x:row>
    <x:row r="26" ht="80" customHeight="1">
      <x:c r="A26" s="26" t="n">
        <x:v>2026</x:v>
      </x:c>
      <x:c r="B26" s="26" t="str">
        <x:v>DOST-PCAARRD proposed FY2027 priority portfolio</x:v>
      </x:c>
      <x:c r="C26" s="26" t="str">
        <x:v>Official public budget/program proposal</x:v>
      </x:c>
      <x:c r="D26" s="26" t="str">
        <x:v>Emerging R&amp;D pipeline</x:v>
      </x:c>
      <x:c r="E26" s="26" t="str">
        <x:v>Documents YABONG and the research lineage from CAPHE and BanaTech, plus the Agri-Aqua Business Hub scale-out.</x:v>
      </x:c>
      <x:c r="F26" s="26" t="str">
        <x:v>Shows why proposed systems must be separated from operating services and designed for interoperability before development.</x:v>
      </x:c>
      <x:c r="G26" s="32" t="str">
        <x:v>https://www.pcaarrd.dost.gov.ph/index.php/ts-documents/approved-budget-and-corresponding-targets/bp-forms/bp-forms-1/5200-proposed-tier-2-budget-level-for-fy-2027/file</x:v>
      </x:c>
      <x:c r="H26" s="26" t="str">
        <x:v>Added proposed/pipeline systems with explicit status labels</x:v>
      </x:c>
    </x:row>
    <x:row r="27" ht="80" customHeight="1">
      <x:c r="A27" s="26" t="n">
        <x:v>2025</x:v>
      </x:c>
      <x:c r="B27" s="26" t="str">
        <x:v>HerdHero livestock monitoring and management platform</x:v>
      </x:c>
      <x:c r="C27" s="26" t="str">
        <x:v>University research publication</x:v>
      </x:c>
      <x:c r="D27" s="26" t="str">
        <x:v>Livestock digital farm management</x:v>
      </x:c>
      <x:c r="E27" s="26" t="str">
        <x:v>Provides unusually detailed technology-stack, deployment and ISO/IEC 25010 evaluation evidence for a Philippine prototype.</x:v>
      </x:c>
      <x:c r="F27" s="26" t="str">
        <x:v>Still lacks an operational owner, public repository, standard animal identifiers and scale evidence.</x:v>
      </x:c>
      <x:c r="G27" s="32" t="str">
        <x:v>https://mseuf.edu.ph/research/publications/herdhero-a-platform-as-a-service-for-livestock-monitoring-and-management-system-with-descriptive-analytics</x:v>
      </x:c>
      <x:c r="H27" s="26" t="str">
        <x:v>Expanded the research-prototype and code-availability register</x:v>
      </x:c>
    </x:row>
    <x:row r="28" ht="82" customHeight="1">
      <x:c r="A28" s="26" t="n">
        <x:v>2022</x:v>
      </x:c>
      <x:c r="B28" s="26" t="str">
        <x:v>The Philippine Native Pig Breed Information System: A Web-Based Record Keeping Application for Native Pig Farmers</x:v>
      </x:c>
      <x:c r="C28" s="26" t="str">
        <x:v>Peer-reviewed veterinary information-system paper</x:v>
      </x:c>
      <x:c r="D28" s="26" t="str">
        <x:v>Native pig breeding and farm records</x:v>
      </x:c>
      <x:c r="E28" s="26" t="str">
        <x:v>Documents standardized records, multi-farm data integration, role-based access, dashboards, MySQL/PHP/Laravel architecture and PDF/CSV reports.</x:v>
      </x:c>
      <x:c r="F28" s="26" t="str">
        <x:v>Provides unusually strong evidence on data structure and export, but no public API or source-code release.</x:v>
      </x:c>
      <x:c r="G28" s="32" t="str">
        <x:v>https://www.pjvas.org/index.php/pjvas/article/download/282/253</x:v>
      </x:c>
      <x:c r="H28" s="26" t="str">
        <x:v>Added PAB-IS Native Pigs and strengthened source-code/interoperability assessment</x:v>
      </x:c>
    </x:row>
    <x:row r="29" ht="82" customHeight="1">
      <x:c r="A29" s="26" t="n">
        <x:v>2026</x:v>
      </x:c>
      <x:c r="B29" s="26" t="str">
        <x:v>Philippine Native Chicken and Itik PINAS Breed Information System</x:v>
      </x:c>
      <x:c r="C29" s="26" t="str">
        <x:v>Official government-funded web information system</x:v>
      </x:c>
      <x:c r="D29" s="26" t="str">
        <x:v>Native chicken and duck genetic resources</x:v>
      </x:c>
      <x:c r="E29" s="26" t="str">
        <x:v>Provides qualitative, morphometric, egg-production, fertility, hatchability and breeder-directory data from multiple institutions.</x:v>
      </x:c>
      <x:c r="F29" s="26" t="str">
        <x:v>Highlights authoritative reference-data value but unclear update cycles, APIs and bulk export.</x:v>
      </x:c>
      <x:c r="G29" s="32" t="str">
        <x:v>https://pab-is.pcaarrd.dost.gov.ph/nativepoultry/</x:v>
      </x:c>
      <x:c r="H29" s="26" t="str">
        <x:v>Added dedicated poultry breed-information system</x:v>
      </x:c>
    </x:row>
    <x:row r="30" ht="82" customHeight="1">
      <x:c r="A30" s="26" t="n">
        <x:v>2024</x:v>
      </x:c>
      <x:c r="B30" s="26" t="str">
        <x:v>Prototype of Smart Poultry for Small-Scale Poultry Farmers at Ilocos Norte</x:v>
      </x:c>
      <x:c r="C30" s="26" t="str">
        <x:v>Peer-reviewed research prototype</x:v>
      </x:c>
      <x:c r="D30" s="26" t="str">
        <x:v>Small-scale poultry</x:v>
      </x:c>
      <x:c r="E30" s="26" t="str">
        <x:v>Documents sensors and mobile-linked automation for ammonia, temperature, humidity, ventilation, heat, feed and water.</x:v>
      </x:c>
      <x:c r="F30" s="26" t="str">
        <x:v>Prototype evidence does not establish durable field operation, affordability or service ownership.</x:v>
      </x:c>
      <x:c r="G30" s="32" t="str">
        <x:v>https://rsisinternational.org/journals/ijrsi/articles/prototype-of-smart-poultry-for-small-scale-poultry-farmers-at-ilocos-norte/</x:v>
      </x:c>
      <x:c r="H30" s="26" t="str">
        <x:v>Added to the research-prototype register</x:v>
      </x:c>
    </x:row>
    <x:row r="31" ht="82" customHeight="1">
      <x:c r="A31" s="26" t="n">
        <x:v>2024</x:v>
      </x:c>
      <x:c r="B31" s="26" t="str">
        <x:v>e-TUBONG: An Automated Poultry Feeding Machine Controlled with Android Application</x:v>
      </x:c>
      <x:c r="C31" s="26" t="str">
        <x:v>Published university prototype</x:v>
      </x:c>
      <x:c r="D31" s="26" t="str">
        <x:v>Poultry feeding automation</x:v>
      </x:c>
      <x:c r="E31" s="26" t="str">
        <x:v>Documents Android/SMS scheduling, microcontroller-based feeding and ISO 9126 evaluation.</x:v>
      </x:c>
      <x:c r="F31" s="26" t="str">
        <x:v>Shows low-bandwidth automation potential but lacks source release, API, long-term farm testing and maintenance evidence.</x:v>
      </x:c>
      <x:c r="G31" s="32" t="str">
        <x:v>https://www.sci-int.com/pdf/638658795143962457.%20Cantilang1%2C%20Niel%20Francis%20B.%20Casillano%20-PHILIP-28-10-24.edited.pdf</x:v>
      </x:c>
      <x:c r="H31" s="26" t="str">
        <x:v>Added to poultry R&amp;D and interoperability assessment</x:v>
      </x:c>
    </x:row>
    <x:row r="32" ht="82" customHeight="1">
      <x:c r="A32" s="26" t="n">
        <x:v>2026</x:v>
      </x:c>
      <x:c r="B32" s="26" t="str">
        <x:v>IncuVision: Android-Based Egg Incubator with Machine Learning Algorithm using OpenCV</x:v>
      </x:c>
      <x:c r="C32" s="26" t="str">
        <x:v>Peer-reviewed research prototype</x:v>
      </x:c>
      <x:c r="D32" s="26" t="str">
        <x:v>Poultry hatchery</x:v>
      </x:c>
      <x:c r="E32" s="26" t="str">
        <x:v>Documents ML/OpenCV-based fertility and embryo monitoring with real-time mobile data and visualizations.</x:v>
      </x:c>
      <x:c r="F32" s="26" t="str">
        <x:v>Requires independent biological validation, dataset/model documentation and product-maintenance evidence.</x:v>
      </x:c>
      <x:c r="G32" s="32" t="str">
        <x:v>https://publishing.pup.edu.ph/ojs/index.php/PUP-JST/article/view/551</x:v>
      </x:c>
      <x:c r="H32" s="26" t="str">
        <x:v>Added to poultry AI prototype register</x:v>
      </x:c>
    </x:row>
    <x:row r="33" ht="82" customHeight="1">
      <x:c r="A33" s="26" t="n">
        <x:v>2019</x:v>
      </x:c>
      <x:c r="B33" s="26" t="str">
        <x:v>Automatic Feeds Dispenser for Sow and Milk Feeding of Piglets with SMS Notification</x:v>
      </x:c>
      <x:c r="C33" s="26" t="str">
        <x:v>Student research prototype</x:v>
      </x:c>
      <x:c r="D33" s="26" t="str">
        <x:v>Swine feeding automation</x:v>
      </x:c>
      <x:c r="E33" s="26" t="str">
        <x:v>Documents scheduled feeding, pH monitoring and remote SMS operation for sows and piglets.</x:v>
      </x:c>
      <x:c r="F33" s="26" t="str">
        <x:v>Useful low-connectivity concept but requires major improvements in sensing, hygiene, safety and reliability.</x:v>
      </x:c>
      <x:c r="G33" s="32" t="str">
        <x:v>https://ejournals.ph/article.php?id=18788</x:v>
      </x:c>
      <x:c r="H33" s="26" t="str">
        <x:v>Added to swine prototype register</x:v>
      </x:c>
    </x:row>
  </x:sheetData>
  <x:mergeCells>
    <x:mergeCell ref="A1:H1"/>
    <x:mergeCell ref="A2:H2"/>
  </x:mergeCells>
  <x:pageMargins left="0.7" right="0.7" top="0.75" bottom="0.75" header="0.3" footer="0.3"/>
  <x:tableParts count="1">
    <x:tablePart xmlns:r="http://schemas.openxmlformats.org/officeDocument/2006/relationships" r:id="R2ff08ec471aa4659"/>
  </x:tableParts>
</x:worksheet>
</file>

<file path=xl/worksheets/sheet8.xml><?xml version="1.0" encoding="utf-8"?>
<x:worksheet xmlns:x="http://schemas.openxmlformats.org/spreadsheetml/2006/main">
  <x:sheetFormatPr defaultRowHeight="15"/>
  <x:cols>
    <x:col min="1" max="1" width="10" hidden="0" customWidth="1"/>
    <x:col min="2" max="2" width="31" hidden="0" customWidth="1"/>
    <x:col min="3" max="3" width="28" hidden="0" customWidth="1"/>
    <x:col min="4" max="4" width="28" hidden="0" customWidth="1"/>
    <x:col min="5" max="5" width="34" hidden="0" customWidth="1"/>
    <x:col min="6" max="6" width="25" hidden="0" customWidth="1"/>
    <x:col min="7" max="7" width="38" hidden="0" customWidth="1"/>
    <x:col min="8" max="8" width="20" hidden="0" customWidth="1"/>
    <x:col min="9" max="9" width="34" hidden="0" customWidth="1"/>
    <x:col min="10" max="10" width="34" hidden="0" customWidth="1"/>
    <x:col min="11" max="11" width="38" hidden="0" customWidth="1"/>
    <x:col min="12" max="12" width="25" hidden="0" customWidth="1"/>
    <x:col min="13" max="13" width="30" hidden="0" customWidth="1"/>
    <x:col min="14" max="14" width="34" hidden="0" customWidth="1"/>
    <x:col min="15" max="15" width="13" hidden="0" customWidth="1"/>
    <x:col min="16" max="16" width="29" hidden="0" customWidth="1"/>
    <x:col min="17" max="17" width="40" hidden="0" customWidth="1"/>
    <x:col min="18" max="18" width="53" hidden="0" customWidth="1"/>
    <x:col min="19" max="19" width="40" hidden="0" customWidth="1"/>
    <x:col min="20" max="20" width="40" hidden="0" customWidth="1"/>
    <x:col min="21" max="21" width="13" hidden="0" customWidth="1"/>
  </x:cols>
  <x:sheetData>
    <x:row r="1" ht="36" customHeight="1">
      <x:c r="A1" s="4" t="str">
        <x:v>Public Source-Code Availability and Interoperability Audit</x:v>
      </x:c>
      <x:c r="B1" s="4" t="str">
        <x:v>Public Source-Code Availability and Interoperability Audit</x:v>
      </x:c>
      <x:c r="C1" s="4" t="str">
        <x:v>Public Source-Code Availability and Interoperability Audit</x:v>
      </x:c>
      <x:c r="D1" s="4" t="str">
        <x:v>Public Source-Code Availability and Interoperability Audit</x:v>
      </x:c>
      <x:c r="E1" s="4" t="str">
        <x:v>Public Source-Code Availability and Interoperability Audit</x:v>
      </x:c>
      <x:c r="F1" s="4" t="str">
        <x:v>Public Source-Code Availability and Interoperability Audit</x:v>
      </x:c>
      <x:c r="G1" s="4" t="str">
        <x:v>Public Source-Code Availability and Interoperability Audit</x:v>
      </x:c>
      <x:c r="H1" s="4" t="str">
        <x:v>Public Source-Code Availability and Interoperability Audit</x:v>
      </x:c>
      <x:c r="I1" s="4" t="str">
        <x:v>Public Source-Code Availability and Interoperability Audit</x:v>
      </x:c>
      <x:c r="J1" s="4" t="str">
        <x:v>Public Source-Code Availability and Interoperability Audit</x:v>
      </x:c>
      <x:c r="K1" s="4" t="str">
        <x:v>Public Source-Code Availability and Interoperability Audit</x:v>
      </x:c>
      <x:c r="L1" s="4" t="str">
        <x:v>Public Source-Code Availability and Interoperability Audit</x:v>
      </x:c>
      <x:c r="M1" s="4" t="str">
        <x:v>Public Source-Code Availability and Interoperability Audit</x:v>
      </x:c>
      <x:c r="N1" s="4" t="str">
        <x:v>Public Source-Code Availability and Interoperability Audit</x:v>
      </x:c>
      <x:c r="O1" s="4" t="str">
        <x:v>Public Source-Code Availability and Interoperability Audit</x:v>
      </x:c>
      <x:c r="P1" s="4" t="str">
        <x:v>Public Source-Code Availability and Interoperability Audit</x:v>
      </x:c>
      <x:c r="Q1" s="4" t="str">
        <x:v>Public Source-Code Availability and Interoperability Audit</x:v>
      </x:c>
      <x:c r="R1" s="4" t="str">
        <x:v>Public Source-Code Availability and Interoperability Audit</x:v>
      </x:c>
      <x:c r="S1" s="4" t="str">
        <x:v>Public Source-Code Availability and Interoperability Audit</x:v>
      </x:c>
      <x:c r="T1" s="4" t="str">
        <x:v>Public Source-Code Availability and Interoperability Audit</x:v>
      </x:c>
      <x:c r="U1" s="4" t="str">
        <x:v>Public Source-Code Availability and Interoperability Audit</x:v>
      </x:c>
    </x:row>
    <x:row r="2" ht="32" customHeight="1">
      <x:c r="A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B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C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D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E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F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G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H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I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J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K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L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M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N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O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P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Q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R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S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T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c r="U2" s="10" t="str">
        <x:v>Public-evidence audit only. A source-code quality, security, dependency or maintainability audit is not possible where an official repository or code package is unavailable. Similarly named repositories are not treated as official unless institutional ownership is independently established.</x:v>
      </x:c>
    </x:row>
    <x:row r="4">
      <x:c r="A4" s="18" t="str">
        <x:v>DATS2_ID</x:v>
      </x:c>
      <x:c r="B4" s="18" t="str">
        <x:v>System / Tool</x:v>
      </x:c>
      <x:c r="C4" s="18" t="str">
        <x:v>Owner</x:v>
      </x:c>
      <x:c r="D4" s="18" t="str">
        <x:v>Technology / Channel</x:v>
      </x:c>
      <x:c r="E4" s="18" t="str">
        <x:v>Public Source Availability</x:v>
      </x:c>
      <x:c r="F4" s="18" t="str">
        <x:v>Official Repository Located?</x:v>
      </x:c>
      <x:c r="G4" s="18" t="str">
        <x:v>Repository / Binary URL</x:v>
      </x:c>
      <x:c r="H4" s="18" t="str">
        <x:v>Public License</x:v>
      </x:c>
      <x:c r="I4" s="18" t="str">
        <x:v>Public API Documentation</x:v>
      </x:c>
      <x:c r="J4" s="18" t="str">
        <x:v>Machine-readable Export</x:v>
      </x:c>
      <x:c r="K4" s="18" t="str">
        <x:v>Documented Integration / Exchange</x:v>
      </x:c>
      <x:c r="L4" s="18" t="str">
        <x:v>Offline / Low-bandwidth Evidence</x:v>
      </x:c>
      <x:c r="M4" s="18" t="str">
        <x:v>Identity / Authentication Link</x:v>
      </x:c>
      <x:c r="N4" s="18" t="str">
        <x:v>Data-standard Evidence</x:v>
      </x:c>
      <x:c r="O4" s="18" t="str">
        <x:v>Interoperability Score (0–4)</x:v>
      </x:c>
      <x:c r="P4" s="18" t="str">
        <x:v>Portability / Lock-in Risk</x:v>
      </x:c>
      <x:c r="Q4" s="18" t="str">
        <x:v>Recommended SINAG Integration Pattern</x:v>
      </x:c>
      <x:c r="R4" s="18" t="str">
        <x:v>Required Technical Due Diligence</x:v>
      </x:c>
      <x:c r="S4" s="18" t="str">
        <x:v>Evidence Source 1</x:v>
      </x:c>
      <x:c r="T4" s="18" t="str">
        <x:v>Evidence Source 2</x:v>
      </x:c>
      <x:c r="U4" s="18" t="str">
        <x:v>Last Checked</x:v>
      </x:c>
    </x:row>
    <x:row r="5" ht="58" customHeight="1">
      <x:c r="A5" s="26" t="str">
        <x:v>D2-001</x:v>
      </x:c>
      <x:c r="B5" s="26" t="str">
        <x:v>Digital Agriculture Tools and Services in the Philippines</x:v>
      </x:c>
      <x:c r="C5" s="26" t="str">
        <x:v>DA-BAR, IRRI and DA-RID</x:v>
      </x:c>
      <x:c r="D5" s="26" t="str">
        <x:v>Web database and analytics</x:v>
      </x:c>
      <x:c r="E5" s="26" t="str">
        <x:v>Public web/service interface; source code not publicly located</x:v>
      </x:c>
      <x:c r="F5" s="26" t="str">
        <x:v>No official public repository located</x:v>
      </x:c>
      <x:c r="G5" s="26" t="str">
        <x:v>https://www.irri.org/news-and-events/news/da-bar-and-irri-launch-online-platform-ph-digital-ag-tools</x:v>
      </x:c>
      <x:c r="H5" s="26" t="str">
        <x:v>Not publicly specified</x:v>
      </x:c>
      <x:c r="I5" s="26" t="str">
        <x:v>No public API documentation located</x:v>
      </x:c>
      <x:c r="J5" s="26" t="str">
        <x:v>No machine-readable export specification located</x:v>
      </x:c>
      <x:c r="K5" s="26" t="str">
        <x:v>Designed as a repository; API and long-term governance not publicly confirmed</x:v>
      </x:c>
      <x:c r="L5" s="26" t="str">
        <x:v>Not documented</x:v>
      </x:c>
      <x:c r="M5" s="26" t="str">
        <x:v>No explicit shared-identity integration documented</x:v>
      </x:c>
      <x:c r="N5" s="26" t="str">
        <x:v>No public data schema or conformance standard located</x:v>
      </x:c>
      <x:c r="O5" s="30" t="n">
        <x:v>1</x:v>
      </x:c>
      <x:c r="P5" s="26" t="str">
        <x:v>High unless export, API access and data rights are established</x:v>
      </x:c>
      <x:c r="Q5" s="26" t="str">
        <x:v>Catalog + deep link/referral; require API/export roadmap before deeper SINAG integration</x:v>
      </x:c>
      <x:c r="R5" s="26" t="str">
        <x:v>Confirm architecture, owner/maintainer, source escrow or release policy, license, API specification, authentication, data model, export/import, security testing, privacy impact, uptime/SLA, backups and exit plan.</x:v>
      </x:c>
      <x:c r="S5" s="32" t="str">
        <x:v>https://www.irri.org/news-and-events/news/da-bar-and-irri-launch-online-platform-ph-digital-ag-tools</x:v>
      </x:c>
      <x:c r="T5" s="32" t="str">
        <x:v>https://dvi-ke.fao.org/digital_initiatives_details.php?id=96</x:v>
      </x:c>
      <x:c r="U5" s="26" t="str">
        <x:v>2026-07-13</x:v>
      </x:c>
    </x:row>
    <x:row r="6" ht="58" customHeight="1">
      <x:c r="A6" s="26" t="str">
        <x:v>D2-002</x:v>
      </x:c>
      <x:c r="B6" s="26" t="str">
        <x:v>Registry System for Basic Sectors in Agriculture / National Farmers and Fisherfolk Registry System</x:v>
      </x:c>
      <x:c r="C6" s="26" t="str">
        <x:v>Department of Agriculture</x:v>
      </x:c>
      <x:c r="D6" s="26" t="str">
        <x:v>Government database</x:v>
      </x:c>
      <x:c r="E6" s="26" t="str">
        <x:v>Public web/service interface; source code not publicly located</x:v>
      </x:c>
      <x:c r="F6" s="26" t="str">
        <x:v>No official public repository located</x:v>
      </x:c>
      <x:c r="G6" s="26" t="str">
        <x:v>https://finder-rsbsa.da.gov.ph/</x:v>
      </x:c>
      <x:c r="H6" s="26" t="str">
        <x:v>Not publicly specified</x:v>
      </x:c>
      <x:c r="I6" s="26" t="str">
        <x:v>No public API documentation located</x:v>
      </x:c>
      <x:c r="J6" s="26" t="str">
        <x:v>No machine-readable export specification located</x:v>
      </x:c>
      <x:c r="K6" s="26" t="str">
        <x:v>High-value identity source; access and privacy controls are essential</x:v>
      </x:c>
      <x:c r="L6" s="26" t="str">
        <x:v>Not documented</x:v>
      </x:c>
      <x:c r="M6" s="26" t="str">
        <x:v>Government registry, credential or linked program identity is central</x:v>
      </x:c>
      <x:c r="N6" s="26" t="str">
        <x:v>No public data schema or conformance standard located</x:v>
      </x:c>
      <x:c r="O6" s="30" t="n">
        <x:v>1</x:v>
      </x:c>
      <x:c r="P6" s="26" t="str">
        <x:v>High unless export, API access and data rights are established</x:v>
      </x:c>
      <x:c r="Q6" s="26" t="str">
        <x:v>Catalog + deep link/referral; require API/export roadmap before deeper SINAG integration</x:v>
      </x:c>
      <x:c r="R6" s="26" t="str">
        <x:v>Confirm architecture, owner/maintainer, source escrow or release policy, license, API specification, authentication, data model, export/import, security testing, privacy impact, uptime/SLA, backups and exit plan.</x:v>
      </x:c>
      <x:c r="S6" s="32" t="str">
        <x:v>https://finder-rsbsa.da.gov.ph/</x:v>
      </x:c>
      <x:c r="T6" s="32" t="str">
        <x:v>https://pcaf.da.gov.ph/index.php/2020/06/01/da-lays-foundation-to-digitize-agri-fishery-repost/</x:v>
      </x:c>
      <x:c r="U6" s="26" t="str">
        <x:v>2026-07-13</x:v>
      </x:c>
    </x:row>
    <x:row r="7" ht="58" customHeight="1">
      <x:c r="A7" s="26" t="str">
        <x:v>D2-003</x:v>
      </x:c>
      <x:c r="B7" s="26" t="str">
        <x:v>RSBSA Finder</x:v>
      </x:c>
      <x:c r="C7" s="26" t="str">
        <x:v>Department of Agriculture</x:v>
      </x:c>
      <x:c r="D7" s="26" t="str">
        <x:v>Public web lookup</x:v>
      </x:c>
      <x:c r="E7" s="26" t="str">
        <x:v>Public web/service interface; source code not publicly located</x:v>
      </x:c>
      <x:c r="F7" s="26" t="str">
        <x:v>No official public repository located</x:v>
      </x:c>
      <x:c r="G7" s="26" t="str">
        <x:v>https://finder-rsbsa.da.gov.ph/</x:v>
      </x:c>
      <x:c r="H7" s="26" t="str">
        <x:v>Not publicly specified</x:v>
      </x:c>
      <x:c r="I7" s="26" t="str">
        <x:v>No public API documentation located</x:v>
      </x:c>
      <x:c r="J7" s="26" t="str">
        <x:v>No machine-readable export specification located</x:v>
      </x:c>
      <x:c r="K7" s="26" t="str">
        <x:v>Personal identifiers require secure handling</x:v>
      </x:c>
      <x:c r="L7" s="26" t="str">
        <x:v>Not documented</x:v>
      </x:c>
      <x:c r="M7" s="26" t="str">
        <x:v>Government registry, credential or linked program identity is central</x:v>
      </x:c>
      <x:c r="N7" s="26" t="str">
        <x:v>No public data schema or conformance standard located</x:v>
      </x:c>
      <x:c r="O7" s="30" t="n">
        <x:v>1</x:v>
      </x:c>
      <x:c r="P7" s="26" t="str">
        <x:v>High unless export, API access and data rights are established</x:v>
      </x:c>
      <x:c r="Q7" s="26" t="str">
        <x:v>Catalog + deep link/referral; require API/export roadmap before deeper SINAG integration</x:v>
      </x:c>
      <x:c r="R7" s="26" t="str">
        <x:v>Confirm architecture, owner/maintainer, source escrow or release policy, license, API specification, authentication, data model, export/import, security testing, privacy impact, uptime/SLA, backups and exit plan.</x:v>
      </x:c>
      <x:c r="S7" s="32" t="str">
        <x:v>https://finder-rsbsa.da.gov.ph/</x:v>
      </x:c>
      <x:c r="T7" s="32" t="str"/>
      <x:c r="U7" s="26" t="str">
        <x:v>2026-07-13</x:v>
      </x:c>
    </x:row>
    <x:row r="8" ht="58" customHeight="1">
      <x:c r="A8" s="26" t="str">
        <x:v>D2-004</x:v>
      </x:c>
      <x:c r="B8" s="26" t="str">
        <x:v>Farmers and Fisherfolk Enterprise Development Information System</x:v>
      </x:c>
      <x:c r="C8" s="26" t="str">
        <x:v>Department of Agriculture</x:v>
      </x:c>
      <x:c r="D8" s="26" t="str">
        <x:v>Web registry and opportunity portal</x:v>
      </x:c>
      <x:c r="E8" s="26" t="str">
        <x:v>Public web/service interface; source code not publicly located</x:v>
      </x:c>
      <x:c r="F8" s="26" t="str">
        <x:v>No official public repository located</x:v>
      </x:c>
      <x:c r="G8" s="26" t="str">
        <x:v>https://ffedis.da.gov.ph/</x:v>
      </x:c>
      <x:c r="H8" s="26" t="str">
        <x:v>Not publicly specified</x:v>
      </x:c>
      <x:c r="I8" s="26" t="str">
        <x:v>No public API documentation located</x:v>
      </x:c>
      <x:c r="J8" s="26" t="str">
        <x:v>No machine-readable export specification located</x:v>
      </x:c>
      <x:c r="K8" s="26" t="str">
        <x:v>Enterprise and partner data require consent and access rules</x:v>
      </x:c>
      <x:c r="L8" s="26" t="str">
        <x:v>Not documented</x:v>
      </x:c>
      <x:c r="M8" s="26" t="str">
        <x:v>Government registry, credential or linked program identity is central</x:v>
      </x:c>
      <x:c r="N8" s="26" t="str">
        <x:v>No public data schema or conformance standard located</x:v>
      </x:c>
      <x:c r="O8" s="30" t="n">
        <x:v>1</x:v>
      </x:c>
      <x:c r="P8" s="26" t="str">
        <x:v>High unless export, API access and data rights are established</x:v>
      </x:c>
      <x:c r="Q8" s="26" t="str">
        <x:v>Catalog + deep link/referral; require API/export roadmap before deeper SINAG integration</x:v>
      </x:c>
      <x:c r="R8" s="26" t="str">
        <x:v>Confirm architecture, owner/maintainer, source escrow or release policy, license, API specification, authentication, data model, export/import, security testing, privacy impact, uptime/SLA, backups and exit plan.</x:v>
      </x:c>
      <x:c r="S8" s="32" t="str">
        <x:v>https://ffedis.da.gov.ph/</x:v>
      </x:c>
      <x:c r="T8" s="32" t="str">
        <x:v>https://sagipsaka.da.gov.ph/</x:v>
      </x:c>
      <x:c r="U8" s="26" t="str">
        <x:v>2026-07-13</x:v>
      </x:c>
    </x:row>
    <x:row r="9" ht="58" customHeight="1">
      <x:c r="A9" s="26" t="str">
        <x:v>D2-005</x:v>
      </x:c>
      <x:c r="B9" s="26" t="str">
        <x:v>Farmers and Fisheries Registration System / Farmers Intervention Monitoring System</x:v>
      </x:c>
      <x:c r="C9" s="26" t="str">
        <x:v>Department of Agriculture</x:v>
      </x:c>
      <x:c r="D9" s="26" t="str">
        <x:v>Government MIS and geolocation</x:v>
      </x:c>
      <x:c r="E9" s="26" t="str">
        <x:v>Public web/service interface; source code not publicly located</x:v>
      </x:c>
      <x:c r="F9" s="26" t="str">
        <x:v>No official public repository located</x:v>
      </x:c>
      <x:c r="G9" s="26" t="str">
        <x:v>https://pcaf.da.gov.ph/index.php/2020/06/01/da-lays-foundation-to-digitize-agri-fishery-repost/</x:v>
      </x:c>
      <x:c r="H9" s="26" t="str">
        <x:v>Not publicly specified</x:v>
      </x:c>
      <x:c r="I9" s="26" t="str">
        <x:v>No public API documentation located</x:v>
      </x:c>
      <x:c r="J9" s="26" t="str">
        <x:v>No machine-readable export specification located</x:v>
      </x:c>
      <x:c r="K9" s="26" t="str">
        <x:v>Should align with RSBSA, GeoCamera and program databases</x:v>
      </x:c>
      <x:c r="L9" s="26" t="str">
        <x:v>Not documented</x:v>
      </x:c>
      <x:c r="M9" s="26" t="str">
        <x:v>RSBSA/farmer identity linkage is described</x:v>
      </x:c>
      <x:c r="N9" s="26" t="str">
        <x:v>No public data schema or conformance standard located</x:v>
      </x:c>
      <x:c r="O9" s="30" t="n">
        <x:v>1</x:v>
      </x:c>
      <x:c r="P9" s="26" t="str">
        <x:v>High unless export, API access and data rights are established</x:v>
      </x:c>
      <x:c r="Q9" s="26" t="str">
        <x:v>Catalog + deep link/referral; require API/export roadmap before deeper SINAG integration</x:v>
      </x:c>
      <x:c r="R9" s="26" t="str">
        <x:v>Confirm architecture, owner/maintainer, source escrow or release policy, license, API specification, authentication, data model, export/import, security testing, privacy impact, uptime/SLA, backups and exit plan.</x:v>
      </x:c>
      <x:c r="S9" s="32" t="str">
        <x:v>https://pcaf.da.gov.ph/index.php/2020/06/01/da-lays-foundation-to-digitize-agri-fishery-repost/</x:v>
      </x:c>
      <x:c r="T9" s="32" t="str"/>
      <x:c r="U9" s="26" t="str">
        <x:v>2026-07-13</x:v>
      </x:c>
    </x:row>
    <x:row r="10" ht="58" customHeight="1">
      <x:c r="A10" s="26" t="str">
        <x:v>D2-006</x:v>
      </x:c>
      <x:c r="B10" s="26" t="str">
        <x:v>DA GeoCamera</x:v>
      </x:c>
      <x:c r="C10" s="26" t="str">
        <x:v>Department of Agriculture</x:v>
      </x:c>
      <x:c r="D10" s="26" t="str">
        <x:v>Android app and geotagging</x:v>
      </x:c>
      <x:c r="E10" s="26" t="str">
        <x:v>Public app listing or binary/APK; application source not located</x:v>
      </x:c>
      <x:c r="F10" s="26" t="str">
        <x:v>No official public repository located</x:v>
      </x:c>
      <x:c r="G10" s="26" t="str">
        <x:v>https://play.google.com/store/apps/details?id=com.da.geocamera</x:v>
      </x:c>
      <x:c r="H10" s="26" t="str">
        <x:v>Not publicly specified</x:v>
      </x:c>
      <x:c r="I10" s="26" t="str">
        <x:v>No public API documentation located</x:v>
      </x:c>
      <x:c r="J10" s="26" t="str">
        <x:v>No machine-readable export specification located</x:v>
      </x:c>
      <x:c r="K10" s="26" t="str">
        <x:v>Location and image data need signed submissions, access control and retention rules</x:v>
      </x:c>
      <x:c r="L10" s="26" t="str">
        <x:v>Not documented</x:v>
      </x:c>
      <x:c r="M10" s="26" t="str">
        <x:v>No explicit shared-identity integration documented</x:v>
      </x:c>
      <x:c r="N10" s="26" t="str">
        <x:v>Geospatial exchange is relevant; CRS, metadata and service standards are not publicly documented</x:v>
      </x:c>
      <x:c r="O10" s="30" t="n">
        <x:v>1</x:v>
      </x:c>
      <x:c r="P10" s="26" t="str">
        <x:v>High unless export, API access and data rights are established</x:v>
      </x:c>
      <x:c r="Q10" s="26" t="str">
        <x:v>Catalog + deep link/referral; require API/export roadmap before deeper SINAG integration</x:v>
      </x:c>
      <x:c r="R10" s="26" t="str">
        <x:v>Confirm architecture, owner/maintainer, source escrow or release policy, license, API specification, authentication, data model, export/import, security testing, privacy impact, uptime/SLA, backups and exit plan.</x:v>
      </x:c>
      <x:c r="S10" s="32" t="str">
        <x:v>https://play.google.com/store/apps/details?id=com.da.geocamera</x:v>
      </x:c>
      <x:c r="T10" s="32" t="str">
        <x:v>https://pcaf.da.gov.ph/index.php/2020/06/01/da-lays-foundation-to-digitize-agri-fishery-repost/</x:v>
      </x:c>
      <x:c r="U10" s="26" t="str">
        <x:v>2026-07-13</x:v>
      </x:c>
    </x:row>
    <x:row r="11" ht="58" customHeight="1">
      <x:c r="A11" s="26" t="str">
        <x:v>D2-007</x:v>
      </x:c>
      <x:c r="B11" s="26" t="str">
        <x:v>GEOAGRI</x:v>
      </x:c>
      <x:c r="C11" s="26" t="str">
        <x:v>DA-Bureau of Agricultural and Fisheries Engineering</x:v>
      </x:c>
      <x:c r="D11" s="26" t="str">
        <x:v>WebGIS, mobile geotagging and database</x:v>
      </x:c>
      <x:c r="E11" s="26" t="str">
        <x:v>Public web/service interface; source code not publicly located</x:v>
      </x:c>
      <x:c r="F11" s="26" t="str">
        <x:v>No official public repository located</x:v>
      </x:c>
      <x:c r="G11" s="26" t="str">
        <x:v>https://pidswebs.pids.gov.ph/CDN/document/pidsdps2329.pdf</x:v>
      </x:c>
      <x:c r="H11" s="26" t="str">
        <x:v>Not publicly specified</x:v>
      </x:c>
      <x:c r="I11" s="26" t="str">
        <x:v>No public API documentation located</x:v>
      </x:c>
      <x:c r="J11" s="26" t="str">
        <x:v>No machine-readable export specification located</x:v>
      </x:c>
      <x:c r="K11" s="26" t="str">
        <x:v>APIs and linkage with farmer/equipment registries are not publicly documented</x:v>
      </x:c>
      <x:c r="L11" s="26" t="str">
        <x:v>Not documented</x:v>
      </x:c>
      <x:c r="M11" s="26" t="str">
        <x:v>No explicit shared-identity integration documented</x:v>
      </x:c>
      <x:c r="N11" s="26" t="str">
        <x:v>Geospatial exchange is relevant; CRS, metadata and service standards are not publicly documented</x:v>
      </x:c>
      <x:c r="O11" s="30" t="n">
        <x:v>1</x:v>
      </x:c>
      <x:c r="P11" s="26" t="str">
        <x:v>High unless export, API access and data rights are established</x:v>
      </x:c>
      <x:c r="Q11" s="26" t="str">
        <x:v>Catalog + deep link/referral; require API/export roadmap before deeper SINAG integration</x:v>
      </x:c>
      <x:c r="R11" s="26" t="str">
        <x:v>Confirm architecture, owner/maintainer, source escrow or release policy, license, API specification, authentication, data model, export/import, security testing, privacy impact, uptime/SLA, backups and exit plan.</x:v>
      </x:c>
      <x:c r="S11" s="32" t="str">
        <x:v>https://pidswebs.pids.gov.ph/CDN/document/pidsdps2329.pdf</x:v>
      </x:c>
      <x:c r="T11" s="32" t="str">
        <x:v>https://www.bafe.da.gov.ph/</x:v>
      </x:c>
      <x:c r="U11" s="26" t="str">
        <x:v>2026-07-13</x:v>
      </x:c>
    </x:row>
    <x:row r="12" ht="58" customHeight="1">
      <x:c r="A12" s="26" t="str">
        <x:v>D2-008</x:v>
      </x:c>
      <x:c r="B12" s="26" t="str">
        <x:v>DA DOS Regional Government Analytics</x:v>
      </x:c>
      <x:c r="C12" s="26" t="str">
        <x:v>DA Regional Field Office II</x:v>
      </x:c>
      <x:c r="D12" s="26" t="str">
        <x:v>Dashboard and analytics</x:v>
      </x:c>
      <x:c r="E12" s="26" t="str">
        <x:v>Public web/service interface; source code not publicly located</x:v>
      </x:c>
      <x:c r="F12" s="26" t="str">
        <x:v>No official public repository located</x:v>
      </x:c>
      <x:c r="G12" s="26" t="str">
        <x:v>https://cagayanvalley.da.gov.ph/2025/07/10/technology-nutrition-and-innovation-a-3-in-1-celebration-of-digital-agriculture-national-nutrition-month-food-revolution-region-02-champouradu/</x:v>
      </x:c>
      <x:c r="H12" s="26" t="str">
        <x:v>Not publicly specified</x:v>
      </x:c>
      <x:c r="I12" s="26" t="str">
        <x:v>No public API documentation located</x:v>
      </x:c>
      <x:c r="J12" s="26" t="str">
        <x:v>No machine-readable export specification located</x:v>
      </x:c>
      <x:c r="K12" s="26" t="str">
        <x:v>Interfaces and common national standards are not public</x:v>
      </x:c>
      <x:c r="L12" s="26" t="str">
        <x:v>Not documented</x:v>
      </x:c>
      <x:c r="M12" s="26" t="str">
        <x:v>No explicit shared-identity integration documented</x:v>
      </x:c>
      <x:c r="N12" s="26" t="str">
        <x:v>No public data schema or conformance standard located</x:v>
      </x:c>
      <x:c r="O12" s="30" t="n">
        <x:v>1</x:v>
      </x:c>
      <x:c r="P12" s="26" t="str">
        <x:v>High unless export, API access and data rights are established</x:v>
      </x:c>
      <x:c r="Q12" s="26" t="str">
        <x:v>Catalog + deep link/referral; require API/export roadmap before deeper SINAG integration</x:v>
      </x:c>
      <x:c r="R12" s="26" t="str">
        <x:v>Confirm architecture, owner/maintainer, source escrow or release policy, license, API specification, authentication, data model, export/import, security testing, privacy impact, uptime/SLA, backups and exit plan.</x:v>
      </x:c>
      <x:c r="S12" s="32" t="str">
        <x:v>https://cagayanvalley.da.gov.ph/2025/07/10/technology-nutrition-and-innovation-a-3-in-1-celebration-of-digital-agriculture-national-nutrition-month-food-revolution-region-02-champouradu/</x:v>
      </x:c>
      <x:c r="T12" s="32" t="str"/>
      <x:c r="U12" s="26" t="str">
        <x:v>2026-07-13</x:v>
      </x:c>
    </x:row>
    <x:row r="13" ht="58" customHeight="1">
      <x:c r="A13" s="26" t="str">
        <x:v>D2-009</x:v>
      </x:c>
      <x:c r="B13" s="26" t="str">
        <x:v>Agriculture and Fisheries Market Information System / Bantay Presyo</x:v>
      </x:c>
      <x:c r="C13" s="26" t="str">
        <x:v>Department of Agriculture</x:v>
      </x:c>
      <x:c r="D13" s="26" t="str">
        <x:v>Web reports, databases and dashboards</x:v>
      </x:c>
      <x:c r="E13" s="26" t="str">
        <x:v>Public web/service interface; source code not publicly located</x:v>
      </x:c>
      <x:c r="F13" s="26" t="str">
        <x:v>No official public repository located</x:v>
      </x:c>
      <x:c r="G13" s="26" t="str">
        <x:v>https://www.da.gov.ph/price-monitoring/</x:v>
      </x:c>
      <x:c r="H13" s="26" t="str">
        <x:v>Not publicly specified</x:v>
      </x:c>
      <x:c r="I13" s="26" t="str">
        <x:v>No public API documentation located</x:v>
      </x:c>
      <x:c r="J13" s="26" t="str">
        <x:v>Public data/visualization access exists; stable API and bulk-export specification not confirmed</x:v>
      </x:c>
      <x:c r="K13" s="26" t="str">
        <x:v>Machine-readable access and data definitions should be standardized</x:v>
      </x:c>
      <x:c r="L13" s="26" t="str">
        <x:v>Not documented</x:v>
      </x:c>
      <x:c r="M13" s="26" t="str">
        <x:v>No explicit shared-identity integration documented</x:v>
      </x:c>
      <x:c r="N13" s="26" t="str">
        <x:v>No public data schema or conformance standard located</x:v>
      </x:c>
      <x:c r="O13" s="30" t="n">
        <x:v>1</x:v>
      </x:c>
      <x:c r="P13" s="26" t="str">
        <x:v>High unless export, API access and data rights are established</x:v>
      </x:c>
      <x:c r="Q13" s="26" t="str">
        <x:v>Catalog + deep link/referral; require API/export roadmap before deeper SINAG integration</x:v>
      </x:c>
      <x:c r="R13" s="26" t="str">
        <x:v>Confirm architecture, owner/maintainer, source escrow or release policy, license, API specification, authentication, data model, export/import, security testing, privacy impact, uptime/SLA, backups and exit plan.</x:v>
      </x:c>
      <x:c r="S13" s="32" t="str">
        <x:v>https://www.da.gov.ph/price-monitoring/</x:v>
      </x:c>
      <x:c r="T13" s="32" t="str">
        <x:v>https://pidswebs.pids.gov.ph/CDN/document/pidsdps2329.pdf</x:v>
      </x:c>
      <x:c r="U13" s="26" t="str">
        <x:v>2026-07-13</x:v>
      </x:c>
    </x:row>
    <x:row r="14" ht="58" customHeight="1">
      <x:c r="A14" s="26" t="str">
        <x:v>D2-010</x:v>
      </x:c>
      <x:c r="B14" s="26" t="str">
        <x:v>e-Kadiwa / Kadiwa Digital Market Channels</x:v>
      </x:c>
      <x:c r="C14" s="26" t="str">
        <x:v>Department of Agriculture and partners</x:v>
      </x:c>
      <x:c r="D14" s="26" t="str">
        <x:v>Web, social media and digital ordering</x:v>
      </x:c>
      <x:c r="E14" s="26" t="str">
        <x:v>Public web/service interface; source code not publicly located</x:v>
      </x:c>
      <x:c r="F14" s="26" t="str">
        <x:v>No official public repository located</x:v>
      </x:c>
      <x:c r="G14" s="26" t="str">
        <x:v>https://www.da.gov.ph/kadiwa-ng-pangulo/</x:v>
      </x:c>
      <x:c r="H14" s="26" t="str">
        <x:v>Not publicly specified</x:v>
      </x:c>
      <x:c r="I14" s="26" t="str">
        <x:v>No public API documentation located</x:v>
      </x:c>
      <x:c r="J14" s="26" t="str">
        <x:v>No machine-readable export specification located</x:v>
      </x:c>
      <x:c r="K14" s="26" t="str">
        <x:v>Integration with FFEDIS, price systems and logistics is not consistently public</x:v>
      </x:c>
      <x:c r="L14" s="26" t="str">
        <x:v>Not documented</x:v>
      </x:c>
      <x:c r="M14" s="26" t="str">
        <x:v>No explicit shared-identity integration documented</x:v>
      </x:c>
      <x:c r="N14" s="26" t="str">
        <x:v>No public data schema or conformance standard located</x:v>
      </x:c>
      <x:c r="O14" s="30" t="n">
        <x:v>1</x:v>
      </x:c>
      <x:c r="P14" s="26" t="str">
        <x:v>High unless export, API access and data rights are established</x:v>
      </x:c>
      <x:c r="Q14" s="26" t="str">
        <x:v>Catalog/referral or watchlist pending status and portability validation</x:v>
      </x:c>
      <x:c r="R14" s="26" t="str">
        <x:v>Confirm architecture, owner/maintainer, source escrow or release policy, license, API specification, authentication, data model, export/import, security testing, privacy impact, uptime/SLA, backups and exit plan.</x:v>
      </x:c>
      <x:c r="S14" s="32" t="str">
        <x:v>https://www.da.gov.ph/kadiwa-ng-pangulo/</x:v>
      </x:c>
      <x:c r="T14" s="32" t="str">
        <x:v>https://pidswebs.pids.gov.ph/CDN/document/pidsdps2329.pdf</x:v>
      </x:c>
      <x:c r="U14" s="26" t="str">
        <x:v>2026-07-13</x:v>
      </x:c>
    </x:row>
    <x:row r="15" ht="58" customHeight="1">
      <x:c r="A15" s="26" t="str">
        <x:v>D2-011</x:v>
      </x:c>
      <x:c r="B15" s="26" t="str">
        <x:v>Agro-Climatic Advisory Portal</x:v>
      </x:c>
      <x:c r="C15" s="26" t="str">
        <x:v>Department of Agriculture</x:v>
      </x:c>
      <x:c r="D15" s="26" t="str">
        <x:v>Web portal, maps and bulletins</x:v>
      </x:c>
      <x:c r="E15" s="26" t="str">
        <x:v>Public web/service interface; source code not publicly located</x:v>
      </x:c>
      <x:c r="F15" s="26" t="str">
        <x:v>No official public repository located</x:v>
      </x:c>
      <x:c r="G15" s="26" t="str">
        <x:v>https://cagayanvalley.da.gov.ph/2025/07/10/technology-nutrition-and-innovation-a-3-in-1-celebration-of-digital-agriculture-national-nutrition-month-food-revolution-region-02-champouradu/</x:v>
      </x:c>
      <x:c r="H15" s="26" t="str">
        <x:v>Not publicly specified</x:v>
      </x:c>
      <x:c r="I15" s="26" t="str">
        <x:v>No public API documentation located</x:v>
      </x:c>
      <x:c r="J15" s="26" t="str">
        <x:v>No machine-readable export specification located</x:v>
      </x:c>
      <x:c r="K15" s="26" t="str">
        <x:v>Advisory feeds, validity periods and APIs are not publicly standardized</x:v>
      </x:c>
      <x:c r="L15" s="26" t="str">
        <x:v>Not documented</x:v>
      </x:c>
      <x:c r="M15" s="26" t="str">
        <x:v>No explicit shared-identity integration documented</x:v>
      </x:c>
      <x:c r="N15" s="26" t="str">
        <x:v>No public data schema or conformance standard located</x:v>
      </x:c>
      <x:c r="O15" s="30" t="n">
        <x:v>1</x:v>
      </x:c>
      <x:c r="P15" s="26" t="str">
        <x:v>High unless export, API access and data rights are established</x:v>
      </x:c>
      <x:c r="Q15" s="26" t="str">
        <x:v>Catalog + deep link/referral; require API/export roadmap before deeper SINAG integration</x:v>
      </x:c>
      <x:c r="R15" s="26" t="str">
        <x:v>Confirm architecture, owner/maintainer, source escrow or release policy, license, API specification, authentication, data model, export/import, security testing, privacy impact, uptime/SLA, backups and exit plan.</x:v>
      </x:c>
      <x:c r="S15" s="32" t="str">
        <x:v>https://cagayanvalley.da.gov.ph/2025/07/10/technology-nutrition-and-innovation-a-3-in-1-celebration-of-digital-agriculture-national-nutrition-month-food-revolution-region-02-champouradu/</x:v>
      </x:c>
      <x:c r="T15" s="32" t="str">
        <x:v>https://pidswebs.pids.gov.ph/CDN/document/pidsdps2329.pdf</x:v>
      </x:c>
      <x:c r="U15" s="26" t="str">
        <x:v>2026-07-13</x:v>
      </x:c>
    </x:row>
    <x:row r="16" ht="58" customHeight="1">
      <x:c r="A16" s="26" t="str">
        <x:v>D2-012</x:v>
      </x:c>
      <x:c r="B16" s="26" t="str">
        <x:v>National Color-Coded Agricultural Guide Map</x:v>
      </x:c>
      <x:c r="C16" s="26" t="str">
        <x:v>Department of Agriculture</x:v>
      </x:c>
      <x:c r="D16" s="26" t="str">
        <x:v>WebGIS and suitability maps</x:v>
      </x:c>
      <x:c r="E16" s="26" t="str">
        <x:v>Public web/service interface; source code not publicly located</x:v>
      </x:c>
      <x:c r="F16" s="26" t="str">
        <x:v>No official public repository located</x:v>
      </x:c>
      <x:c r="G16" s="26" t="str">
        <x:v>https://pidswebs.pids.gov.ph/CDN/document/pidsdps2329.pdf</x:v>
      </x:c>
      <x:c r="H16" s="26" t="str">
        <x:v>Not publicly specified</x:v>
      </x:c>
      <x:c r="I16" s="26" t="str">
        <x:v>No public API documentation located</x:v>
      </x:c>
      <x:c r="J16" s="26" t="str">
        <x:v>No machine-readable export specification located</x:v>
      </x:c>
      <x:c r="K16" s="26" t="str">
        <x:v>Versioning, provenance and comparison with SARAi/soil layers are needed</x:v>
      </x:c>
      <x:c r="L16" s="26" t="str">
        <x:v>Not documented</x:v>
      </x:c>
      <x:c r="M16" s="26" t="str">
        <x:v>No explicit shared-identity integration documented</x:v>
      </x:c>
      <x:c r="N16" s="26" t="str">
        <x:v>Geospatial exchange is relevant; CRS, metadata and service standards are not publicly documented</x:v>
      </x:c>
      <x:c r="O16" s="30" t="n">
        <x:v>1</x:v>
      </x:c>
      <x:c r="P16" s="26" t="str">
        <x:v>High unless export, API access and data rights are established</x:v>
      </x:c>
      <x:c r="Q16" s="26" t="str">
        <x:v>Catalog + deep link/referral; require API/export roadmap before deeper SINAG integration</x:v>
      </x:c>
      <x:c r="R16" s="26" t="str">
        <x:v>Confirm architecture, owner/maintainer, source escrow or release policy, license, API specification, authentication, data model, export/import, security testing, privacy impact, uptime/SLA, backups and exit plan.</x:v>
      </x:c>
      <x:c r="S16" s="32" t="str">
        <x:v>https://pidswebs.pids.gov.ph/CDN/document/pidsdps2329.pdf</x:v>
      </x:c>
      <x:c r="T16" s="32" t="str"/>
      <x:c r="U16" s="26" t="str">
        <x:v>2026-07-13</x:v>
      </x:c>
    </x:row>
    <x:row r="17" ht="58" customHeight="1">
      <x:c r="A17" s="26" t="str">
        <x:v>D2-013</x:v>
      </x:c>
      <x:c r="B17" s="26" t="str">
        <x:v>AMIA Climate-Risk Vulnerability Assessment</x:v>
      </x:c>
      <x:c r="C17" s="26" t="str">
        <x:v>Department of Agriculture and research partners</x:v>
      </x:c>
      <x:c r="D17" s="26" t="str">
        <x:v>GIS, analytics and reports</x:v>
      </x:c>
      <x:c r="E17" s="26" t="str">
        <x:v>Public web/service interface; source code not publicly located</x:v>
      </x:c>
      <x:c r="F17" s="26" t="str">
        <x:v>No official public repository located</x:v>
      </x:c>
      <x:c r="G17" s="26" t="str">
        <x:v>https://amia.da.gov.ph/</x:v>
      </x:c>
      <x:c r="H17" s="26" t="str">
        <x:v>Not publicly specified</x:v>
      </x:c>
      <x:c r="I17" s="26" t="str">
        <x:v>No public API documentation located</x:v>
      </x:c>
      <x:c r="J17" s="26" t="str">
        <x:v>No machine-readable export specification located</x:v>
      </x:c>
      <x:c r="K17" s="26" t="str">
        <x:v>Geospatial and vulnerability data need versioning and ethical aggregation</x:v>
      </x:c>
      <x:c r="L17" s="26" t="str">
        <x:v>Not documented</x:v>
      </x:c>
      <x:c r="M17" s="26" t="str">
        <x:v>No explicit shared-identity integration documented</x:v>
      </x:c>
      <x:c r="N17" s="26" t="str">
        <x:v>Geospatial exchange is relevant; CRS, metadata and service standards are not publicly documented</x:v>
      </x:c>
      <x:c r="O17" s="30" t="n">
        <x:v>1</x:v>
      </x:c>
      <x:c r="P17" s="26" t="str">
        <x:v>High unless export, API access and data rights are established</x:v>
      </x:c>
      <x:c r="Q17" s="26" t="str">
        <x:v>Catalog + deep link/referral; require API/export roadmap before deeper SINAG integration</x:v>
      </x:c>
      <x:c r="R17" s="26" t="str">
        <x:v>Confirm architecture, owner/maintainer, source escrow or release policy, license, API specification, authentication, data model, export/import, security testing, privacy impact, uptime/SLA, backups and exit plan.</x:v>
      </x:c>
      <x:c r="S17" s="32" t="str">
        <x:v>https://amia.da.gov.ph/</x:v>
      </x:c>
      <x:c r="T17" s="32" t="str">
        <x:v>https://pidswebs.pids.gov.ph/CDN/document/pidsdps2329.pdf</x:v>
      </x:c>
      <x:c r="U17" s="26" t="str">
        <x:v>2026-07-13</x:v>
      </x:c>
    </x:row>
    <x:row r="18" ht="58" customHeight="1">
      <x:c r="A18" s="26" t="str">
        <x:v>D2-014</x:v>
      </x:c>
      <x:c r="B18" s="26" t="str">
        <x:v>Digital Soil Fertility Maps</x:v>
      </x:c>
      <x:c r="C18" s="26" t="str">
        <x:v>Department of Agriculture soil programs</x:v>
      </x:c>
      <x:c r="D18" s="26" t="str">
        <x:v>WebGIS and spatial database</x:v>
      </x:c>
      <x:c r="E18" s="26" t="str">
        <x:v>Public web/service interface; source code not publicly located</x:v>
      </x:c>
      <x:c r="F18" s="26" t="str">
        <x:v>No official public repository located</x:v>
      </x:c>
      <x:c r="G18" s="26" t="str">
        <x:v>https://cagayanvalley.da.gov.ph/2025/07/10/technology-nutrition-and-innovation-a-3-in-1-celebration-of-digital-agriculture-national-nutrition-month-food-revolution-region-02-champouradu/</x:v>
      </x:c>
      <x:c r="H18" s="26" t="str">
        <x:v>Not publicly specified</x:v>
      </x:c>
      <x:c r="I18" s="26" t="str">
        <x:v>No public API documentation located</x:v>
      </x:c>
      <x:c r="J18" s="26" t="str">
        <x:v>No machine-readable export specification located</x:v>
      </x:c>
      <x:c r="K18" s="26" t="str">
        <x:v>Soil schemas, sampling dates, methods and uncertainty should be standardized</x:v>
      </x:c>
      <x:c r="L18" s="26" t="str">
        <x:v>Not documented</x:v>
      </x:c>
      <x:c r="M18" s="26" t="str">
        <x:v>No explicit shared-identity integration documented</x:v>
      </x:c>
      <x:c r="N18" s="26" t="str">
        <x:v>Geospatial exchange is relevant; CRS, metadata and service standards are not publicly documented</x:v>
      </x:c>
      <x:c r="O18" s="30" t="n">
        <x:v>1</x:v>
      </x:c>
      <x:c r="P18" s="26" t="str">
        <x:v>High unless export, API access and data rights are established</x:v>
      </x:c>
      <x:c r="Q18" s="26" t="str">
        <x:v>Catalog + deep link/referral; require API/export roadmap before deeper SINAG integration</x:v>
      </x:c>
      <x:c r="R18" s="26" t="str">
        <x:v>Confirm architecture, owner/maintainer, source escrow or release policy, license, API specification, authentication, data model, export/import, security testing, privacy impact, uptime/SLA, backups and exit plan.</x:v>
      </x:c>
      <x:c r="S18" s="32" t="str">
        <x:v>https://cagayanvalley.da.gov.ph/2025/07/10/technology-nutrition-and-innovation-a-3-in-1-celebration-of-digital-agriculture-national-nutrition-month-food-revolution-region-02-champouradu/</x:v>
      </x:c>
      <x:c r="T18" s="32" t="str"/>
      <x:c r="U18" s="26" t="str">
        <x:v>2026-07-13</x:v>
      </x:c>
    </x:row>
    <x:row r="19" ht="58" customHeight="1">
      <x:c r="A19" s="26" t="str">
        <x:v>D2-015</x:v>
      </x:c>
      <x:c r="B19" s="26" t="str">
        <x:v>Philippine Rice Information System</x:v>
      </x:c>
      <x:c r="C19" s="26" t="str">
        <x:v>DA-PhilRice, IRRI and Department of Agriculture</x:v>
      </x:c>
      <x:c r="D19" s="26" t="str">
        <x:v>Satellite EO, GIS and analytics</x:v>
      </x:c>
      <x:c r="E19" s="26" t="str">
        <x:v>Public web/service interface; source code not publicly located</x:v>
      </x:c>
      <x:c r="F19" s="26" t="str">
        <x:v>No official public repository located</x:v>
      </x:c>
      <x:c r="G19" s="26" t="str">
        <x:v>https://prism.philrice.gov.ph/</x:v>
      </x:c>
      <x:c r="H19" s="26" t="str">
        <x:v>Not publicly specified</x:v>
      </x:c>
      <x:c r="I19" s="26" t="str">
        <x:v>No public API documentation located</x:v>
      </x:c>
      <x:c r="J19" s="26" t="str">
        <x:v>No machine-readable export specification located</x:v>
      </x:c>
      <x:c r="K19" s="26" t="str">
        <x:v>High-value spatial feed; provenance, confidence and access rules are needed</x:v>
      </x:c>
      <x:c r="L19" s="26" t="str">
        <x:v>Not documented</x:v>
      </x:c>
      <x:c r="M19" s="26" t="str">
        <x:v>No explicit shared-identity integration documented</x:v>
      </x:c>
      <x:c r="N19" s="26" t="str">
        <x:v>Geospatial exchange is relevant; CRS, metadata and service standards are not publicly documented</x:v>
      </x:c>
      <x:c r="O19" s="30" t="n">
        <x:v>1</x:v>
      </x:c>
      <x:c r="P19" s="26" t="str">
        <x:v>High unless export, API access and data rights are established</x:v>
      </x:c>
      <x:c r="Q19" s="26" t="str">
        <x:v>Catalog + deep link/referral; require API/export roadmap before deeper SINAG integration</x:v>
      </x:c>
      <x:c r="R19" s="26" t="str">
        <x:v>Confirm architecture, owner/maintainer, source escrow or release policy, license, API specification, authentication, data model, export/import, security testing, privacy impact, uptime/SLA, backups and exit plan.</x:v>
      </x:c>
      <x:c r="S19" s="32" t="str">
        <x:v>https://prism.philrice.gov.ph/</x:v>
      </x:c>
      <x:c r="T19" s="32" t="str">
        <x:v>https://pidswebs.pids.gov.ph/CDN/document/pidsdps2329.pdf</x:v>
      </x:c>
      <x:c r="U19" s="26" t="str">
        <x:v>2026-07-13</x:v>
      </x:c>
    </x:row>
    <x:row r="20" ht="58" customHeight="1">
      <x:c r="A20" s="26" t="str">
        <x:v>D2-016</x:v>
      </x:c>
      <x:c r="B20" s="26" t="str">
        <x:v>Pest and Disease Risk Identification and Management</x:v>
      </x:c>
      <x:c r="C20" s="26" t="str">
        <x:v>DA-PhilRice and partners</x:v>
      </x:c>
      <x:c r="D20" s="26" t="str">
        <x:v>Risk models, GIS and field surveillance</x:v>
      </x:c>
      <x:c r="E20" s="26" t="str">
        <x:v>Public web/service interface; source code not publicly located</x:v>
      </x:c>
      <x:c r="F20" s="26" t="str">
        <x:v>No official public repository located</x:v>
      </x:c>
      <x:c r="G20" s="26" t="str">
        <x:v>https://www.philrice.gov.ph/prime/</x:v>
      </x:c>
      <x:c r="H20" s="26" t="str">
        <x:v>Not publicly specified</x:v>
      </x:c>
      <x:c r="I20" s="26" t="str">
        <x:v>No public API documentation located</x:v>
      </x:c>
      <x:c r="J20" s="26" t="str">
        <x:v>No machine-readable export specification located</x:v>
      </x:c>
      <x:c r="K20" s="26" t="str">
        <x:v>Farm locations and pest observations need quality control and role-based access</x:v>
      </x:c>
      <x:c r="L20" s="26" t="str">
        <x:v>Not documented</x:v>
      </x:c>
      <x:c r="M20" s="26" t="str">
        <x:v>Role-based user access is described; federation is not</x:v>
      </x:c>
      <x:c r="N20" s="26" t="str">
        <x:v>No public data schema or conformance standard located</x:v>
      </x:c>
      <x:c r="O20" s="30" t="n">
        <x:v>1</x:v>
      </x:c>
      <x:c r="P20" s="26" t="str">
        <x:v>High unless export, API access and data rights are established</x:v>
      </x:c>
      <x:c r="Q20" s="26" t="str">
        <x:v>Catalog + deep link/referral; require API/export roadmap before deeper SINAG integration</x:v>
      </x:c>
      <x:c r="R20" s="26" t="str">
        <x:v>Confirm architecture, owner/maintainer, source escrow or release policy, license, API specification, authentication, data model, export/import, security testing, privacy impact, uptime/SLA, backups and exit plan.</x:v>
      </x:c>
      <x:c r="S20" s="32" t="str">
        <x:v>https://www.philrice.gov.ph/prime/</x:v>
      </x:c>
      <x:c r="T20" s="32" t="str">
        <x:v>https://pidswebs.pids.gov.ph/CDN/document/pidsdps2329.pdf</x:v>
      </x:c>
      <x:c r="U20" s="26" t="str">
        <x:v>2026-07-13</x:v>
      </x:c>
    </x:row>
    <x:row r="21" ht="58" customHeight="1">
      <x:c r="A21" s="26" t="str">
        <x:v>D2-017</x:v>
      </x:c>
      <x:c r="B21" s="26" t="str">
        <x:v>Smarter Approaches to Reinvigorate Agriculture as an Industry in the Philippines</x:v>
      </x:c>
      <x:c r="C21" s="26" t="str">
        <x:v>UP Los Baños and DOST-PCAARRD partners</x:v>
      </x:c>
      <x:c r="D21" s="26" t="str">
        <x:v>WebGIS, EO, modelling and mobile components</x:v>
      </x:c>
      <x:c r="E21" s="26" t="str">
        <x:v>Public web/service interface; source code not publicly located</x:v>
      </x:c>
      <x:c r="F21" s="26" t="str">
        <x:v>No official public repository located</x:v>
      </x:c>
      <x:c r="G21" s="26" t="str">
        <x:v>https://sarai.ph/</x:v>
      </x:c>
      <x:c r="H21" s="26" t="str">
        <x:v>Not publicly specified</x:v>
      </x:c>
      <x:c r="I21" s="26" t="str">
        <x:v>No public API documentation located</x:v>
      </x:c>
      <x:c r="J21" s="26" t="str">
        <x:v>No machine-readable export specification located</x:v>
      </x:c>
      <x:c r="K21" s="26" t="str">
        <x:v>Services and licenses vary by component; versioning is essential</x:v>
      </x:c>
      <x:c r="L21" s="26" t="str">
        <x:v>Not documented</x:v>
      </x:c>
      <x:c r="M21" s="26" t="str">
        <x:v>No explicit shared-identity integration documented</x:v>
      </x:c>
      <x:c r="N21" s="26" t="str">
        <x:v>Geospatial exchange is relevant; CRS, metadata and service standards are not publicly documented</x:v>
      </x:c>
      <x:c r="O21" s="30" t="n">
        <x:v>1</x:v>
      </x:c>
      <x:c r="P21" s="26" t="str">
        <x:v>High unless export, API access and data rights are established</x:v>
      </x:c>
      <x:c r="Q21" s="26" t="str">
        <x:v>Catalog + deep link/referral; require API/export roadmap before deeper SINAG integration</x:v>
      </x:c>
      <x:c r="R21" s="26" t="str">
        <x:v>Confirm architecture, owner/maintainer, source escrow or release policy, license, API specification, authentication, data model, export/import, security testing, privacy impact, uptime/SLA, backups and exit plan.</x:v>
      </x:c>
      <x:c r="S21" s="32" t="str">
        <x:v>https://sarai.ph/</x:v>
      </x:c>
      <x:c r="T21" s="32" t="str">
        <x:v>https://www.irri.org/news-and-events/news/philippines-stakeholders-are-charting-future-digital-agriculture</x:v>
      </x:c>
      <x:c r="U21" s="26" t="str">
        <x:v>2026-07-13</x:v>
      </x:c>
    </x:row>
    <x:row r="22" ht="58" customHeight="1">
      <x:c r="A22" s="26" t="str">
        <x:v>D2-018</x:v>
      </x:c>
      <x:c r="B22" s="26" t="str">
        <x:v>Remote Sensing and Data Science Help Desk</x:v>
      </x:c>
      <x:c r="C22" s="26" t="str">
        <x:v>DOST-Advanced Science and Technology Institute</x:v>
      </x:c>
      <x:c r="D22" s="26" t="str">
        <x:v>Remote sensing, HPC, AI and help desk</x:v>
      </x:c>
      <x:c r="E22" s="26" t="str">
        <x:v>Public web/service interface; source code not publicly located</x:v>
      </x:c>
      <x:c r="F22" s="26" t="str">
        <x:v>No official public repository located</x:v>
      </x:c>
      <x:c r="G22" s="26" t="str">
        <x:v>https://asti.dost.gov.ph/projects/datos/</x:v>
      </x:c>
      <x:c r="H22" s="26" t="str">
        <x:v>Not publicly specified</x:v>
      </x:c>
      <x:c r="I22" s="26" t="str">
        <x:v>No public API documentation located</x:v>
      </x:c>
      <x:c r="J22" s="26" t="str">
        <x:v>No machine-readable export specification located</x:v>
      </x:c>
      <x:c r="K22" s="26" t="str">
        <x:v>Service APIs, licenses and service levels vary by project</x:v>
      </x:c>
      <x:c r="L22" s="26" t="str">
        <x:v>Not documented</x:v>
      </x:c>
      <x:c r="M22" s="26" t="str">
        <x:v>No explicit shared-identity integration documented</x:v>
      </x:c>
      <x:c r="N22" s="26" t="str">
        <x:v>Geospatial exchange is relevant; CRS, metadata and service standards are not publicly documented</x:v>
      </x:c>
      <x:c r="O22" s="30" t="n">
        <x:v>1</x:v>
      </x:c>
      <x:c r="P22" s="26" t="str">
        <x:v>High unless export, API access and data rights are established</x:v>
      </x:c>
      <x:c r="Q22" s="26" t="str">
        <x:v>Catalog + deep link/referral; require API/export roadmap before deeper SINAG integration</x:v>
      </x:c>
      <x:c r="R22" s="26" t="str">
        <x:v>Confirm architecture, owner/maintainer, source escrow or release policy, license, API specification, authentication, data model, export/import, security testing, privacy impact, uptime/SLA, backups and exit plan.</x:v>
      </x:c>
      <x:c r="S22" s="32" t="str">
        <x:v>https://asti.dost.gov.ph/projects/datos/</x:v>
      </x:c>
      <x:c r="T22" s="32" t="str">
        <x:v>https://pidswebs.pids.gov.ph/CDN/document/pidsdps2329.pdf</x:v>
      </x:c>
      <x:c r="U22" s="26" t="str">
        <x:v>2026-07-13</x:v>
      </x:c>
    </x:row>
    <x:row r="23" ht="58" customHeight="1">
      <x:c r="A23" s="26" t="str">
        <x:v>D2-019</x:v>
      </x:c>
      <x:c r="B23" s="26" t="str">
        <x:v>AI-Powered Weather Forecasting for a Resilient Philippines</x:v>
      </x:c>
      <x:c r="C23" s="26" t="str">
        <x:v>DOST-ASTI, PAGASA and partners</x:v>
      </x:c>
      <x:c r="D23" s="26" t="str">
        <x:v>AI weather models, HPC and forecast services</x:v>
      </x:c>
      <x:c r="E23" s="26" t="str">
        <x:v>Public web/service interface; source code not publicly located</x:v>
      </x:c>
      <x:c r="F23" s="26" t="str">
        <x:v>No official public repository located</x:v>
      </x:c>
      <x:c r="G23" s="26" t="str">
        <x:v>https://asti.dost.gov.ph/wp-content/uploads/ASTI-PPAs-2026-v2-FDL_17-June-26.pdf</x:v>
      </x:c>
      <x:c r="H23" s="26" t="str">
        <x:v>Not publicly specified</x:v>
      </x:c>
      <x:c r="I23" s="26" t="str">
        <x:v>No public API documentation located</x:v>
      </x:c>
      <x:c r="J23" s="26" t="str">
        <x:v>No machine-readable export specification located</x:v>
      </x:c>
      <x:c r="K23" s="26" t="str">
        <x:v>Future API potential; PAGASA should remain the authoritative warning source</x:v>
      </x:c>
      <x:c r="L23" s="26" t="str">
        <x:v>Not documented</x:v>
      </x:c>
      <x:c r="M23" s="26" t="str">
        <x:v>No explicit shared-identity integration documented</x:v>
      </x:c>
      <x:c r="N23" s="26" t="str">
        <x:v>No public data schema or conformance standard located</x:v>
      </x:c>
      <x:c r="O23" s="30" t="n">
        <x:v>1</x:v>
      </x:c>
      <x:c r="P23" s="26" t="str">
        <x:v>High unless export, API access and data rights are established</x:v>
      </x:c>
      <x:c r="Q23" s="26" t="str">
        <x:v>Catalog + deep link/referral; require API/export roadmap before deeper SINAG integration</x:v>
      </x:c>
      <x:c r="R23" s="26" t="str">
        <x:v>Confirm architecture, owner/maintainer, source escrow or release policy, license, API specification, authentication, data model, export/import, security testing, privacy impact, uptime/SLA, backups and exit plan.</x:v>
      </x:c>
      <x:c r="S23" s="32" t="str">
        <x:v>https://asti.dost.gov.ph/wp-content/uploads/ASTI-PPAs-2026-v2-FDL_17-June-26.pdf</x:v>
      </x:c>
      <x:c r="T23" s="32" t="str">
        <x:v>https://www.pagasa.dost.gov.ph/</x:v>
      </x:c>
      <x:c r="U23" s="26" t="str">
        <x:v>2026-07-13</x:v>
      </x:c>
    </x:row>
    <x:row r="24" ht="58" customHeight="1">
      <x:c r="A24" s="26" t="str">
        <x:v>D2-020</x:v>
      </x:c>
      <x:c r="B24" s="26" t="str">
        <x:v>Philippine Rice Statistics and Information System</x:v>
      </x:c>
      <x:c r="C24" s="26" t="str">
        <x:v>DA-PhilRice</x:v>
      </x:c>
      <x:c r="D24" s="26" t="str">
        <x:v>Web database and dashboards</x:v>
      </x:c>
      <x:c r="E24" s="26" t="str">
        <x:v>Public web/service interface; source code not publicly located</x:v>
      </x:c>
      <x:c r="F24" s="26" t="str">
        <x:v>No official public repository located</x:v>
      </x:c>
      <x:c r="G24" s="26" t="str">
        <x:v>https://www.philrice.gov.ph/palaystat/</x:v>
      </x:c>
      <x:c r="H24" s="26" t="str">
        <x:v>Not publicly specified</x:v>
      </x:c>
      <x:c r="I24" s="26" t="str">
        <x:v>No public API documentation located</x:v>
      </x:c>
      <x:c r="J24" s="26" t="str">
        <x:v>No machine-readable export specification located</x:v>
      </x:c>
      <x:c r="K24" s="26" t="str">
        <x:v>Methods, revisions and identifiers should align with PSA and PRISM</x:v>
      </x:c>
      <x:c r="L24" s="26" t="str">
        <x:v>Not documented</x:v>
      </x:c>
      <x:c r="M24" s="26" t="str">
        <x:v>No explicit shared-identity integration documented</x:v>
      </x:c>
      <x:c r="N24" s="26" t="str">
        <x:v>No public data schema or conformance standard located</x:v>
      </x:c>
      <x:c r="O24" s="30" t="n">
        <x:v>1</x:v>
      </x:c>
      <x:c r="P24" s="26" t="str">
        <x:v>High unless export, API access and data rights are established</x:v>
      </x:c>
      <x:c r="Q24" s="26" t="str">
        <x:v>Catalog + deep link/referral; require API/export roadmap before deeper SINAG integration</x:v>
      </x:c>
      <x:c r="R24" s="26" t="str">
        <x:v>Confirm architecture, owner/maintainer, source escrow or release policy, license, API specification, authentication, data model, export/import, security testing, privacy impact, uptime/SLA, backups and exit plan.</x:v>
      </x:c>
      <x:c r="S24" s="32" t="str">
        <x:v>https://www.philrice.gov.ph/palaystat/</x:v>
      </x:c>
      <x:c r="T24" s="32" t="str"/>
      <x:c r="U24" s="26" t="str">
        <x:v>2026-07-13</x:v>
      </x:c>
    </x:row>
    <x:row r="25" ht="58" customHeight="1">
      <x:c r="A25" s="26" t="str">
        <x:v>D2-021</x:v>
      </x:c>
      <x:c r="B25" s="26" t="str">
        <x:v>RiceLytics</x:v>
      </x:c>
      <x:c r="C25" s="26" t="str">
        <x:v>DA-PhilRice</x:v>
      </x:c>
      <x:c r="D25" s="26" t="str">
        <x:v>Web dashboard</x:v>
      </x:c>
      <x:c r="E25" s="26" t="str">
        <x:v>Public web/service interface; source code not publicly located</x:v>
      </x:c>
      <x:c r="F25" s="26" t="str">
        <x:v>No official public repository located</x:v>
      </x:c>
      <x:c r="G25" s="26" t="str">
        <x:v>https://ricelytics.philrice.gov.ph/</x:v>
      </x:c>
      <x:c r="H25" s="26" t="str">
        <x:v>Not publicly specified</x:v>
      </x:c>
      <x:c r="I25" s="26" t="str">
        <x:v>No public API documentation located</x:v>
      </x:c>
      <x:c r="J25" s="26" t="str">
        <x:v>Public data/visualization access exists; stable API and bulk-export specification not confirmed</x:v>
      </x:c>
      <x:c r="K25" s="26" t="str">
        <x:v>Indicator definitions and revisions need transparent metadata</x:v>
      </x:c>
      <x:c r="L25" s="26" t="str">
        <x:v>Not documented</x:v>
      </x:c>
      <x:c r="M25" s="26" t="str">
        <x:v>No explicit shared-identity integration documented</x:v>
      </x:c>
      <x:c r="N25" s="26" t="str">
        <x:v>No public data schema or conformance standard located</x:v>
      </x:c>
      <x:c r="O25" s="30" t="n">
        <x:v>1</x:v>
      </x:c>
      <x:c r="P25" s="26" t="str">
        <x:v>High unless export, API access and data rights are established</x:v>
      </x:c>
      <x:c r="Q25" s="26" t="str">
        <x:v>Catalog + deep link/referral; require API/export roadmap before deeper SINAG integration</x:v>
      </x:c>
      <x:c r="R25" s="26" t="str">
        <x:v>Confirm architecture, owner/maintainer, source escrow or release policy, license, API specification, authentication, data model, export/import, security testing, privacy impact, uptime/SLA, backups and exit plan.</x:v>
      </x:c>
      <x:c r="S25" s="32" t="str">
        <x:v>https://ricelytics.philrice.gov.ph/</x:v>
      </x:c>
      <x:c r="T25" s="32" t="str">
        <x:v>https://www.philrice.gov.ph/ricelytics/</x:v>
      </x:c>
      <x:c r="U25" s="26" t="str">
        <x:v>2026-07-13</x:v>
      </x:c>
    </x:row>
    <x:row r="26" ht="58" customHeight="1">
      <x:c r="A26" s="26" t="str">
        <x:v>D2-022</x:v>
      </x:c>
      <x:c r="B26" s="26" t="str">
        <x:v>PhilRice Climate-Smart Maps</x:v>
      </x:c>
      <x:c r="C26" s="26" t="str">
        <x:v>DA-PhilRice</x:v>
      </x:c>
      <x:c r="D26" s="26" t="str">
        <x:v>WebGIS and maps</x:v>
      </x:c>
      <x:c r="E26" s="26" t="str">
        <x:v>Public web/service interface; source code not publicly located</x:v>
      </x:c>
      <x:c r="F26" s="26" t="str">
        <x:v>No official public repository located</x:v>
      </x:c>
      <x:c r="G26" s="26" t="str">
        <x:v>https://pidswebs.pids.gov.ph/CDN/document/pidsdps2329.pdf</x:v>
      </x:c>
      <x:c r="H26" s="26" t="str">
        <x:v>Not publicly specified</x:v>
      </x:c>
      <x:c r="I26" s="26" t="str">
        <x:v>No public API documentation located</x:v>
      </x:c>
      <x:c r="J26" s="26" t="str">
        <x:v>No machine-readable export specification located</x:v>
      </x:c>
      <x:c r="K26" s="26" t="str">
        <x:v>Layer provenance and recommendation rules are not publicly standardized</x:v>
      </x:c>
      <x:c r="L26" s="26" t="str">
        <x:v>Not documented</x:v>
      </x:c>
      <x:c r="M26" s="26" t="str">
        <x:v>No explicit shared-identity integration documented</x:v>
      </x:c>
      <x:c r="N26" s="26" t="str">
        <x:v>Critical Tracking Events / Key Data Elements framework documented</x:v>
      </x:c>
      <x:c r="O26" s="30" t="n">
        <x:v>1</x:v>
      </x:c>
      <x:c r="P26" s="26" t="str">
        <x:v>High unless export, API access and data rights are established</x:v>
      </x:c>
      <x:c r="Q26" s="26" t="str">
        <x:v>Catalog + deep link/referral; require API/export roadmap before deeper SINAG integration</x:v>
      </x:c>
      <x:c r="R26" s="26" t="str">
        <x:v>Confirm architecture, owner/maintainer, source escrow or release policy, license, API specification, authentication, data model, export/import, security testing, privacy impact, uptime/SLA, backups and exit plan.</x:v>
      </x:c>
      <x:c r="S26" s="32" t="str">
        <x:v>https://pidswebs.pids.gov.ph/CDN/document/pidsdps2329.pdf</x:v>
      </x:c>
      <x:c r="T26" s="32" t="str">
        <x:v>https://www.philrice.gov.ph/</x:v>
      </x:c>
      <x:c r="U26" s="26" t="str">
        <x:v>2026-07-13</x:v>
      </x:c>
    </x:row>
    <x:row r="27" ht="58" customHeight="1">
      <x:c r="A27" s="26" t="str">
        <x:v>D2-023</x:v>
      </x:c>
      <x:c r="B27" s="26" t="str">
        <x:v>Rice Crop Manager Advisory Service</x:v>
      </x:c>
      <x:c r="C27" s="26" t="str">
        <x:v>DA, IRRI, PhilRice and ATI</x:v>
      </x:c>
      <x:c r="D27" s="26" t="str">
        <x:v>Web/mobile workflow, extension-mediated print and SMS</x:v>
      </x:c>
      <x:c r="E27" s="26" t="str">
        <x:v>Public web/service interface; source code not publicly located</x:v>
      </x:c>
      <x:c r="F27" s="26" t="str">
        <x:v>No official public repository located</x:v>
      </x:c>
      <x:c r="G27" s="26" t="str">
        <x:v>https://phapps.irri.org/ph/ras/</x:v>
      </x:c>
      <x:c r="H27" s="26" t="str">
        <x:v>Not publicly specified</x:v>
      </x:c>
      <x:c r="I27" s="26" t="str">
        <x:v>No public API documentation located</x:v>
      </x:c>
      <x:c r="J27" s="26" t="str">
        <x:v>No machine-readable export specification located</x:v>
      </x:c>
      <x:c r="K27" s="26" t="str">
        <x:v>Farm and location data require consent; referral/API access is not public</x:v>
      </x:c>
      <x:c r="L27" s="26" t="str">
        <x:v>Low-bandwidth SMS/text delivery documented</x:v>
      </x:c>
      <x:c r="M27" s="26" t="str">
        <x:v>No explicit shared-identity integration documented</x:v>
      </x:c>
      <x:c r="N27" s="26" t="str">
        <x:v>No public data schema or conformance standard located</x:v>
      </x:c>
      <x:c r="O27" s="30" t="n">
        <x:v>1</x:v>
      </x:c>
      <x:c r="P27" s="26" t="str">
        <x:v>High unless export, API access and data rights are established</x:v>
      </x:c>
      <x:c r="Q27" s="26" t="str">
        <x:v>Catalog + deep link/referral; require API/export roadmap before deeper SINAG integration</x:v>
      </x:c>
      <x:c r="R27" s="26" t="str">
        <x:v>Confirm architecture, owner/maintainer, source escrow or release policy, license, API specification, authentication, data model, export/import, security testing, privacy impact, uptime/SLA, backups and exit plan.</x:v>
      </x:c>
      <x:c r="S27" s="32" t="str">
        <x:v>https://phapps.irri.org/ph/ras/</x:v>
      </x:c>
      <x:c r="T27" s="32" t="str">
        <x:v>https://pidswebs.pids.gov.ph/CDN/document/pidsdps2329.pdf</x:v>
      </x:c>
      <x:c r="U27" s="26" t="str">
        <x:v>2026-07-13</x:v>
      </x:c>
    </x:row>
    <x:row r="28" ht="58" customHeight="1">
      <x:c r="A28" s="26" t="str">
        <x:v>D2-024</x:v>
      </x:c>
      <x:c r="B28" s="26" t="str">
        <x:v>SeedCast</x:v>
      </x:c>
      <x:c r="C28" s="26" t="str">
        <x:v>IRRI and Philippine partners</x:v>
      </x:c>
      <x:c r="D28" s="26" t="str">
        <x:v>Analytics and planning tool</x:v>
      </x:c>
      <x:c r="E28" s="26" t="str">
        <x:v>Public web/service interface; source code not publicly located</x:v>
      </x:c>
      <x:c r="F28" s="26" t="str">
        <x:v>No official public repository located</x:v>
      </x:c>
      <x:c r="G28" s="26" t="str">
        <x:v>https://www.irri.org/annual-report-2024</x:v>
      </x:c>
      <x:c r="H28" s="26" t="str">
        <x:v>Not publicly specified</x:v>
      </x:c>
      <x:c r="I28" s="26" t="str">
        <x:v>No public API documentation located</x:v>
      </x:c>
      <x:c r="J28" s="26" t="str">
        <x:v>No machine-readable export specification located</x:v>
      </x:c>
      <x:c r="K28" s="26" t="str">
        <x:v>Potential linkage with registries, inventories and climate forecasts</x:v>
      </x:c>
      <x:c r="L28" s="26" t="str">
        <x:v>Not documented</x:v>
      </x:c>
      <x:c r="M28" s="26" t="str">
        <x:v>No explicit shared-identity integration documented</x:v>
      </x:c>
      <x:c r="N28" s="26" t="str">
        <x:v>No public data schema or conformance standard located</x:v>
      </x:c>
      <x:c r="O28" s="30" t="n">
        <x:v>1</x:v>
      </x:c>
      <x:c r="P28" s="26" t="str">
        <x:v>High unless export, API access and data rights are established</x:v>
      </x:c>
      <x:c r="Q28" s="26" t="str">
        <x:v>Catalog/referral or watchlist pending status and portability validation</x:v>
      </x:c>
      <x:c r="R28" s="26" t="str">
        <x:v>Confirm architecture, owner/maintainer, source escrow or release policy, license, API specification, authentication, data model, export/import, security testing, privacy impact, uptime/SLA, backups and exit plan.</x:v>
      </x:c>
      <x:c r="S28" s="32" t="str">
        <x:v>https://www.irri.org/annual-report-2024</x:v>
      </x:c>
      <x:c r="T28" s="32" t="str">
        <x:v>https://www.irri.org/news-and-events/news/da-bar-and-irri-launch-online-platform-ph-digital-ag-tools</x:v>
      </x:c>
      <x:c r="U28" s="26" t="str">
        <x:v>2026-07-13</x:v>
      </x:c>
    </x:row>
    <x:row r="29" ht="58" customHeight="1">
      <x:c r="A29" s="26" t="str">
        <x:v>D2-025</x:v>
      </x:c>
      <x:c r="B29" s="26" t="str">
        <x:v>4DFarms</x:v>
      </x:c>
      <x:c r="C29" s="26" t="str">
        <x:v>IRRI and DA partners</x:v>
      </x:c>
      <x:c r="D29" s="26" t="str">
        <x:v>Integrated farm technology demonstrations</x:v>
      </x:c>
      <x:c r="E29" s="26" t="str">
        <x:v>Public web/service interface; source code not publicly located</x:v>
      </x:c>
      <x:c r="F29" s="26" t="str">
        <x:v>No official public repository located</x:v>
      </x:c>
      <x:c r="G29" s="26" t="str">
        <x:v>https://www.irri.org/</x:v>
      </x:c>
      <x:c r="H29" s="26" t="str">
        <x:v>Not publicly specified</x:v>
      </x:c>
      <x:c r="I29" s="26" t="str">
        <x:v>No public API documentation located</x:v>
      </x:c>
      <x:c r="J29" s="26" t="str">
        <x:v>No machine-readable export specification located</x:v>
      </x:c>
      <x:c r="K29" s="26" t="str">
        <x:v>Architecture and technology bundle are not publicly documented</x:v>
      </x:c>
      <x:c r="L29" s="26" t="str">
        <x:v>Not documented</x:v>
      </x:c>
      <x:c r="M29" s="26" t="str">
        <x:v>No explicit shared-identity integration documented</x:v>
      </x:c>
      <x:c r="N29" s="26" t="str">
        <x:v>No public data schema or conformance standard located</x:v>
      </x:c>
      <x:c r="O29" s="30" t="n">
        <x:v>1</x:v>
      </x:c>
      <x:c r="P29" s="26" t="str">
        <x:v>High unless export, API access and data rights are established</x:v>
      </x:c>
      <x:c r="Q29" s="26" t="str">
        <x:v>Catalog/referral or watchlist pending status and portability validation</x:v>
      </x:c>
      <x:c r="R29" s="26" t="str">
        <x:v>Confirm architecture, owner/maintainer, source escrow or release policy, license, API specification, authentication, data model, export/import, security testing, privacy impact, uptime/SLA, backups and exit plan.</x:v>
      </x:c>
      <x:c r="S29" s="32" t="str">
        <x:v>https://www.irri.org/</x:v>
      </x:c>
      <x:c r="T29" s="32" t="str">
        <x:v>https://www.irri.org/news-and-events/news/da-bar-and-irri-launch-online-platform-ph-digital-ag-tools</x:v>
      </x:c>
      <x:c r="U29" s="26" t="str">
        <x:v>2026-07-13</x:v>
      </x:c>
    </x:row>
    <x:row r="30" ht="58" customHeight="1">
      <x:c r="A30" s="26" t="str">
        <x:v>D2-026</x:v>
      </x:c>
      <x:c r="B30" s="26" t="str">
        <x:v>Scaling Rice Crop Manager</x:v>
      </x:c>
      <x:c r="C30" s="26" t="str">
        <x:v>IRRI, DA, ATI and partners</x:v>
      </x:c>
      <x:c r="D30" s="26" t="str">
        <x:v>Digital advisory plus extension system</x:v>
      </x:c>
      <x:c r="E30" s="26" t="str">
        <x:v>Public web/service interface; source code not publicly located</x:v>
      </x:c>
      <x:c r="F30" s="26" t="str">
        <x:v>No official public repository located</x:v>
      </x:c>
      <x:c r="G30" s="26" t="str">
        <x:v>https://www.irri.org/</x:v>
      </x:c>
      <x:c r="H30" s="26" t="str">
        <x:v>Not publicly specified</x:v>
      </x:c>
      <x:c r="I30" s="26" t="str">
        <x:v>No public API documentation located</x:v>
      </x:c>
      <x:c r="J30" s="26" t="str">
        <x:v>No machine-readable export specification located</x:v>
      </x:c>
      <x:c r="K30" s="26" t="str">
        <x:v>Dependent on RCM architecture and governance</x:v>
      </x:c>
      <x:c r="L30" s="26" t="str">
        <x:v>Not documented</x:v>
      </x:c>
      <x:c r="M30" s="26" t="str">
        <x:v>No explicit shared-identity integration documented</x:v>
      </x:c>
      <x:c r="N30" s="26" t="str">
        <x:v>No public data schema or conformance standard located</x:v>
      </x:c>
      <x:c r="O30" s="30" t="n">
        <x:v>1</x:v>
      </x:c>
      <x:c r="P30" s="26" t="str">
        <x:v>High unless export, API access and data rights are established</x:v>
      </x:c>
      <x:c r="Q30" s="26" t="str">
        <x:v>Catalog + deep link/referral; require API/export roadmap before deeper SINAG integration</x:v>
      </x:c>
      <x:c r="R30" s="26" t="str">
        <x:v>Confirm architecture, owner/maintainer, source escrow or release policy, license, API specification, authentication, data model, export/import, security testing, privacy impact, uptime/SLA, backups and exit plan.</x:v>
      </x:c>
      <x:c r="S30" s="32" t="str">
        <x:v>https://www.irri.org/</x:v>
      </x:c>
      <x:c r="T30" s="32" t="str">
        <x:v>https://www.irri.org/news-and-events/news/da-bar-and-irri-launch-online-platform-ph-digital-ag-tools</x:v>
      </x:c>
      <x:c r="U30" s="26" t="str">
        <x:v>2026-07-13</x:v>
      </x:c>
    </x:row>
    <x:row r="31" ht="58" customHeight="1">
      <x:c r="A31" s="26" t="str">
        <x:v>D2-027</x:v>
      </x:c>
      <x:c r="B31" s="26" t="str">
        <x:v>Drones4Rice</x:v>
      </x:c>
      <x:c r="C31" s="26" t="str">
        <x:v>IRRI, DA-PhilRice, DA-BAR, regulators and providers</x:v>
      </x:c>
      <x:c r="D31" s="26" t="str">
        <x:v>Agricultural drones, mapping and operating protocols</x:v>
      </x:c>
      <x:c r="E31" s="26" t="str">
        <x:v>Proprietary or not publicly released; no official repository located</x:v>
      </x:c>
      <x:c r="F31" s="26" t="str">
        <x:v>No official public repository located</x:v>
      </x:c>
      <x:c r="G31" s="26" t="str">
        <x:v>https://www.irri.org/news-and-events/news/irri-philrice-launch-drone-protocols-boost-rice-farming-philippines</x:v>
      </x:c>
      <x:c r="H31" s="26" t="str">
        <x:v>Not publicly specified</x:v>
      </x:c>
      <x:c r="I31" s="26" t="str">
        <x:v>No public API documentation located</x:v>
      </x:c>
      <x:c r="J31" s="26" t="str">
        <x:v>No machine-readable export specification located</x:v>
      </x:c>
      <x:c r="K31" s="26" t="str">
        <x:v>Flight logs, service records and maps need common standards and ownership rules</x:v>
      </x:c>
      <x:c r="L31" s="26" t="str">
        <x:v>Not documented</x:v>
      </x:c>
      <x:c r="M31" s="26" t="str">
        <x:v>No explicit shared-identity integration documented</x:v>
      </x:c>
      <x:c r="N31" s="26" t="str">
        <x:v>No public data schema or conformance standard located</x:v>
      </x:c>
      <x:c r="O31" s="30" t="n">
        <x:v>1</x:v>
      </x:c>
      <x:c r="P31" s="26" t="str">
        <x:v>High unless export, API access and data rights are established</x:v>
      </x:c>
      <x:c r="Q31" s="26" t="str">
        <x:v>Catalog + deep link/referral; require API/export roadmap before deeper SINAG integration</x:v>
      </x:c>
      <x:c r="R31" s="26" t="str">
        <x:v>Confirm architecture, owner/maintainer, source escrow or release policy, license, API specification, authentication, data model, export/import, security testing, privacy impact, uptime/SLA, backups and exit plan.</x:v>
      </x:c>
      <x:c r="S31" s="32" t="str">
        <x:v>https://www.irri.org/news-and-events/news/irri-philrice-launch-drone-protocols-boost-rice-farming-philippines</x:v>
      </x:c>
      <x:c r="T31" s="32" t="str"/>
      <x:c r="U31" s="26" t="str">
        <x:v>2026-07-13</x:v>
      </x:c>
    </x:row>
    <x:row r="32" ht="58" customHeight="1">
      <x:c r="A32" s="26" t="str">
        <x:v>D2-028</x:v>
      </x:c>
      <x:c r="B32" s="26" t="str">
        <x:v>Binhing Palay</x:v>
      </x:c>
      <x:c r="C32" s="26" t="str">
        <x:v>DA-PhilRice</x:v>
      </x:c>
      <x:c r="D32" s="26" t="str">
        <x:v>Android app with offline use</x:v>
      </x:c>
      <x:c r="E32" s="26" t="str">
        <x:v>Public app listing or binary/APK; application source not located</x:v>
      </x:c>
      <x:c r="F32" s="26" t="str">
        <x:v>No official public repository located</x:v>
      </x:c>
      <x:c r="G32" s="26" t="str">
        <x:v>https://play.google.com/store/apps/details?id=ph.gov.philrice.binhi</x:v>
      </x:c>
      <x:c r="H32" s="26" t="str">
        <x:v>Not publicly specified</x:v>
      </x:c>
      <x:c r="I32" s="26" t="str">
        <x:v>No public API documentation located</x:v>
      </x:c>
      <x:c r="J32" s="26" t="str">
        <x:v>No machine-readable export specification located</x:v>
      </x:c>
      <x:c r="K32" s="26" t="str">
        <x:v>No public API; app data and content versioning should be documented</x:v>
      </x:c>
      <x:c r="L32" s="26" t="str">
        <x:v>Offline capability documented</x:v>
      </x:c>
      <x:c r="M32" s="26" t="str">
        <x:v>No explicit shared-identity integration documented</x:v>
      </x:c>
      <x:c r="N32" s="26" t="str">
        <x:v>Critical Tracking Events / Key Data Elements framework documented</x:v>
      </x:c>
      <x:c r="O32" s="30" t="n">
        <x:v>1</x:v>
      </x:c>
      <x:c r="P32" s="26" t="str">
        <x:v>High unless export, API access and data rights are established</x:v>
      </x:c>
      <x:c r="Q32" s="26" t="str">
        <x:v>Catalog + deep link/referral; require API/export roadmap before deeper SINAG integration</x:v>
      </x:c>
      <x:c r="R32" s="26" t="str">
        <x:v>Confirm architecture, owner/maintainer, source escrow or release policy, license, API specification, authentication, data model, export/import, security testing, privacy impact, uptime/SLA, backups and exit plan.</x:v>
      </x:c>
      <x:c r="S32" s="32" t="str">
        <x:v>https://play.google.com/store/apps/details?id=ph.gov.philrice.binhi</x:v>
      </x:c>
      <x:c r="T32" s="32" t="str">
        <x:v>https://ati2.da.gov.ph/ati-car/content/article/bongbong-l-buli-e/digital-dawn-kalinga-rice-farmers-undergo-farm-learn-digital-technology</x:v>
      </x:c>
      <x:c r="U32" s="26" t="str">
        <x:v>2026-07-13</x:v>
      </x:c>
    </x:row>
    <x:row r="33" ht="58" customHeight="1">
      <x:c r="A33" s="26" t="str">
        <x:v>D2-029</x:v>
      </x:c>
      <x:c r="B33" s="26" t="str">
        <x:v>e-Damuhan</x:v>
      </x:c>
      <x:c r="C33" s="26" t="str">
        <x:v>DA-PhilRice</x:v>
      </x:c>
      <x:c r="D33" s="26" t="str">
        <x:v>Android app, image recognition and offline library</x:v>
      </x:c>
      <x:c r="E33" s="26" t="str">
        <x:v>Public app listing or binary/APK; application source not located</x:v>
      </x:c>
      <x:c r="F33" s="26" t="str">
        <x:v>No official public repository located</x:v>
      </x:c>
      <x:c r="G33" s="26" t="str">
        <x:v>https://play.google.com/store/apps/details?id=ph.gov.philrice.edamuhan</x:v>
      </x:c>
      <x:c r="H33" s="26" t="str">
        <x:v>Not publicly specified</x:v>
      </x:c>
      <x:c r="I33" s="26" t="str">
        <x:v>No public API documentation located</x:v>
      </x:c>
      <x:c r="J33" s="26" t="str">
        <x:v>No machine-readable export specification located</x:v>
      </x:c>
      <x:c r="K33" s="26" t="str">
        <x:v>Images and optional metadata need transparent storage and upload rules</x:v>
      </x:c>
      <x:c r="L33" s="26" t="str">
        <x:v>Offline capability documented</x:v>
      </x:c>
      <x:c r="M33" s="26" t="str">
        <x:v>No explicit shared-identity integration documented</x:v>
      </x:c>
      <x:c r="N33" s="26" t="str">
        <x:v>No public data schema or conformance standard located</x:v>
      </x:c>
      <x:c r="O33" s="30" t="n">
        <x:v>1</x:v>
      </x:c>
      <x:c r="P33" s="26" t="str">
        <x:v>High unless export, API access and data rights are established</x:v>
      </x:c>
      <x:c r="Q33" s="26" t="str">
        <x:v>Catalog + deep link/referral; require API/export roadmap before deeper SINAG integration</x:v>
      </x:c>
      <x:c r="R33" s="26" t="str">
        <x:v>Confirm architecture, owner/maintainer, source escrow or release policy, license, API specification, authentication, data model, export/import, security testing, privacy impact, uptime/SLA, backups and exit plan.</x:v>
      </x:c>
      <x:c r="S33" s="32" t="str">
        <x:v>https://play.google.com/store/apps/details?id=ph.gov.philrice.edamuhan</x:v>
      </x:c>
      <x:c r="T33" s="32" t="str">
        <x:v>https://ati2.da.gov.ph/ati-car/content/article/bongbong-l-buli-e/digital-dawn-kalinga-rice-farmers-undergo-farm-learn-digital-technology</x:v>
      </x:c>
      <x:c r="U33" s="26" t="str">
        <x:v>2026-07-13</x:v>
      </x:c>
    </x:row>
    <x:row r="34" ht="58" customHeight="1">
      <x:c r="A34" s="26" t="str">
        <x:v>D2-030</x:v>
      </x:c>
      <x:c r="B34" s="26" t="str">
        <x:v>Minus-One Element Technique App</x:v>
      </x:c>
      <x:c r="C34" s="26" t="str">
        <x:v>DA-PhilRice</x:v>
      </x:c>
      <x:c r="D34" s="26" t="str">
        <x:v>Android app</x:v>
      </x:c>
      <x:c r="E34" s="26" t="str">
        <x:v>Public app listing or binary/APK; application source not located</x:v>
      </x:c>
      <x:c r="F34" s="26" t="str">
        <x:v>No official public repository located</x:v>
      </x:c>
      <x:c r="G34" s="26" t="str">
        <x:v>https://play.google.com/store/apps/details?id=com.PhilRice.moetappv3.o</x:v>
      </x:c>
      <x:c r="H34" s="26" t="str">
        <x:v>Not publicly specified</x:v>
      </x:c>
      <x:c r="I34" s="26" t="str">
        <x:v>No public API documentation located</x:v>
      </x:c>
      <x:c r="J34" s="26" t="str">
        <x:v>No machine-readable export specification located</x:v>
      </x:c>
      <x:c r="K34" s="26" t="str">
        <x:v>Farm and input data require consent and portable records</x:v>
      </x:c>
      <x:c r="L34" s="26" t="str">
        <x:v>Not documented</x:v>
      </x:c>
      <x:c r="M34" s="26" t="str">
        <x:v>No explicit shared-identity integration documented</x:v>
      </x:c>
      <x:c r="N34" s="26" t="str">
        <x:v>No public data schema or conformance standard located</x:v>
      </x:c>
      <x:c r="O34" s="30" t="n">
        <x:v>1</x:v>
      </x:c>
      <x:c r="P34" s="26" t="str">
        <x:v>High unless export, API access and data rights are established</x:v>
      </x:c>
      <x:c r="Q34" s="26" t="str">
        <x:v>Catalog + deep link/referral; require API/export roadmap before deeper SINAG integration</x:v>
      </x:c>
      <x:c r="R34" s="26" t="str">
        <x:v>Confirm architecture, owner/maintainer, source escrow or release policy, license, API specification, authentication, data model, export/import, security testing, privacy impact, uptime/SLA, backups and exit plan.</x:v>
      </x:c>
      <x:c r="S34" s="32" t="str">
        <x:v>https://play.google.com/store/apps/details?id=com.PhilRice.moetappv3.o</x:v>
      </x:c>
      <x:c r="T34" s="32" t="str">
        <x:v>https://ati2.da.gov.ph/ati-car/content/article/bongbong-l-buli-e/digital-dawn-kalinga-rice-farmers-undergo-farm-learn-digital-technology</x:v>
      </x:c>
      <x:c r="U34" s="26" t="str">
        <x:v>2026-07-13</x:v>
      </x:c>
    </x:row>
    <x:row r="35" ht="58" customHeight="1">
      <x:c r="A35" s="26" t="str">
        <x:v>D2-031</x:v>
      </x:c>
      <x:c r="B35" s="26" t="str">
        <x:v>Leaf Color Chart App Pro</x:v>
      </x:c>
      <x:c r="C35" s="26" t="str">
        <x:v>DA-PhilRice</x:v>
      </x:c>
      <x:c r="D35" s="26" t="str">
        <x:v>Android app and camera-assisted assessment</x:v>
      </x:c>
      <x:c r="E35" s="26" t="str">
        <x:v>Public app listing or binary/APK; application source not located</x:v>
      </x:c>
      <x:c r="F35" s="26" t="str">
        <x:v>No official public repository located</x:v>
      </x:c>
      <x:c r="G35" s="26" t="str">
        <x:v>https://play.google.com/store/apps/details?id=ph.gov.philrice.lcc.pro</x:v>
      </x:c>
      <x:c r="H35" s="26" t="str">
        <x:v>Not publicly specified</x:v>
      </x:c>
      <x:c r="I35" s="26" t="str">
        <x:v>No public API documentation located</x:v>
      </x:c>
      <x:c r="J35" s="26" t="str">
        <x:v>No machine-readable export specification located</x:v>
      </x:c>
      <x:c r="K35" s="26" t="str">
        <x:v>Images and field records need privacy and calibration metadata</x:v>
      </x:c>
      <x:c r="L35" s="26" t="str">
        <x:v>Not documented</x:v>
      </x:c>
      <x:c r="M35" s="26" t="str">
        <x:v>No explicit shared-identity integration documented</x:v>
      </x:c>
      <x:c r="N35" s="26" t="str">
        <x:v>No public data schema or conformance standard located</x:v>
      </x:c>
      <x:c r="O35" s="30" t="n">
        <x:v>1</x:v>
      </x:c>
      <x:c r="P35" s="26" t="str">
        <x:v>High unless export, API access and data rights are established</x:v>
      </x:c>
      <x:c r="Q35" s="26" t="str">
        <x:v>Catalog + deep link/referral; require API/export roadmap before deeper SINAG integration</x:v>
      </x:c>
      <x:c r="R35" s="26" t="str">
        <x:v>Confirm architecture, owner/maintainer, source escrow or release policy, license, API specification, authentication, data model, export/import, security testing, privacy impact, uptime/SLA, backups and exit plan.</x:v>
      </x:c>
      <x:c r="S35" s="32" t="str">
        <x:v>https://play.google.com/store/apps/details?id=ph.gov.philrice.lcc.pro</x:v>
      </x:c>
      <x:c r="T35" s="32" t="str">
        <x:v>https://ati2.da.gov.ph/ati-car/content/article/bongbong-l-buli-e/digital-dawn-kalinga-rice-farmers-undergo-farm-learn-digital-technology</x:v>
      </x:c>
      <x:c r="U35" s="26" t="str">
        <x:v>2026-07-13</x:v>
      </x:c>
    </x:row>
    <x:row r="36" ht="58" customHeight="1">
      <x:c r="A36" s="26" t="str">
        <x:v>D2-032</x:v>
      </x:c>
      <x:c r="B36" s="26" t="str">
        <x:v>PalayCheck App</x:v>
      </x:c>
      <x:c r="C36" s="26" t="str">
        <x:v>DA-PhilRice</x:v>
      </x:c>
      <x:c r="D36" s="26" t="str">
        <x:v>Android app</x:v>
      </x:c>
      <x:c r="E36" s="26" t="str">
        <x:v>Public app listing or binary/APK; application source not located</x:v>
      </x:c>
      <x:c r="F36" s="26" t="str">
        <x:v>No official public repository located</x:v>
      </x:c>
      <x:c r="G36" s="26" t="str">
        <x:v>https://play.google.com/store/apps/details?id=com.philrice.palaycheckapp</x:v>
      </x:c>
      <x:c r="H36" s="26" t="str">
        <x:v>Not publicly specified</x:v>
      </x:c>
      <x:c r="I36" s="26" t="str">
        <x:v>No public API documentation located</x:v>
      </x:c>
      <x:c r="J36" s="26" t="str">
        <x:v>No machine-readable export specification located</x:v>
      </x:c>
      <x:c r="K36" s="26" t="str">
        <x:v>Farm-season data should be portable and farmer-controlled</x:v>
      </x:c>
      <x:c r="L36" s="26" t="str">
        <x:v>Not documented</x:v>
      </x:c>
      <x:c r="M36" s="26" t="str">
        <x:v>No explicit shared-identity integration documented</x:v>
      </x:c>
      <x:c r="N36" s="26" t="str">
        <x:v>No public data schema or conformance standard located</x:v>
      </x:c>
      <x:c r="O36" s="30" t="n">
        <x:v>1</x:v>
      </x:c>
      <x:c r="P36" s="26" t="str">
        <x:v>High unless export, API access and data rights are established</x:v>
      </x:c>
      <x:c r="Q36" s="26" t="str">
        <x:v>Catalog + deep link/referral; require API/export roadmap before deeper SINAG integration</x:v>
      </x:c>
      <x:c r="R36" s="26" t="str">
        <x:v>Confirm architecture, owner/maintainer, source escrow or release policy, license, API specification, authentication, data model, export/import, security testing, privacy impact, uptime/SLA, backups and exit plan.</x:v>
      </x:c>
      <x:c r="S36" s="32" t="str">
        <x:v>https://play.google.com/store/apps/details?id=com.philrice.palaycheckapp</x:v>
      </x:c>
      <x:c r="T36" s="32" t="str"/>
      <x:c r="U36" s="26" t="str">
        <x:v>2026-07-13</x:v>
      </x:c>
    </x:row>
    <x:row r="37" ht="58" customHeight="1">
      <x:c r="A37" s="26" t="str">
        <x:v>D2-033</x:v>
      </x:c>
      <x:c r="B37" s="26" t="str">
        <x:v>AgriDoc App</x:v>
      </x:c>
      <x:c r="C37" s="26" t="str">
        <x:v>DA-ATI / PhilRice-associated extension initiative</x:v>
      </x:c>
      <x:c r="D37" s="26" t="str">
        <x:v>Android app</x:v>
      </x:c>
      <x:c r="E37" s="26" t="str">
        <x:v>Public app listing or binary/APK; application source not located</x:v>
      </x:c>
      <x:c r="F37" s="26" t="str">
        <x:v>No official public repository located</x:v>
      </x:c>
      <x:c r="G37" s="26" t="str">
        <x:v>https://ati2.da.gov.ph/ati-main/content/training_services</x:v>
      </x:c>
      <x:c r="H37" s="26" t="str">
        <x:v>Not publicly specified</x:v>
      </x:c>
      <x:c r="I37" s="26" t="str">
        <x:v>No public API documentation located</x:v>
      </x:c>
      <x:c r="J37" s="26" t="str">
        <x:v>No machine-readable export specification located</x:v>
      </x:c>
      <x:c r="K37" s="26" t="str">
        <x:v>No public API; current data practices and maintenance need verification</x:v>
      </x:c>
      <x:c r="L37" s="26" t="str">
        <x:v>Not documented</x:v>
      </x:c>
      <x:c r="M37" s="26" t="str">
        <x:v>No explicit shared-identity integration documented</x:v>
      </x:c>
      <x:c r="N37" s="26" t="str">
        <x:v>No public data schema or conformance standard located</x:v>
      </x:c>
      <x:c r="O37" s="30" t="n">
        <x:v>1</x:v>
      </x:c>
      <x:c r="P37" s="26" t="str">
        <x:v>High unless export, API access and data rights are established</x:v>
      </x:c>
      <x:c r="Q37" s="26" t="str">
        <x:v>Catalog/referral or watchlist pending status and portability validation</x:v>
      </x:c>
      <x:c r="R37" s="26" t="str">
        <x:v>Confirm architecture, owner/maintainer, source escrow or release policy, license, API specification, authentication, data model, export/import, security testing, privacy impact, uptime/SLA, backups and exit plan.</x:v>
      </x:c>
      <x:c r="S37" s="32" t="str">
        <x:v>https://pidswebs.pids.gov.ph/CDN/document/pidsdps2329.pdf</x:v>
      </x:c>
      <x:c r="T37" s="32" t="str">
        <x:v>https://ati2.da.gov.ph/ati-main/content/training_services</x:v>
      </x:c>
      <x:c r="U37" s="26" t="str">
        <x:v>2026-07-13</x:v>
      </x:c>
    </x:row>
    <x:row r="38" ht="58" customHeight="1">
      <x:c r="A38" s="26" t="str">
        <x:v>D2-034</x:v>
      </x:c>
      <x:c r="B38" s="26" t="str">
        <x:v>WateRice</x:v>
      </x:c>
      <x:c r="C38" s="26" t="str">
        <x:v>DA-PhilRice and partners</x:v>
      </x:c>
      <x:c r="D38" s="26" t="str">
        <x:v>Mobile advisory tool</x:v>
      </x:c>
      <x:c r="E38" s="26" t="str">
        <x:v>Public web/service interface; source code not publicly located</x:v>
      </x:c>
      <x:c r="F38" s="26" t="str">
        <x:v>No official public repository located</x:v>
      </x:c>
      <x:c r="G38" s="26" t="str">
        <x:v>https://pidswebs.pids.gov.ph/CDN/document/pidsdps2329.pdf</x:v>
      </x:c>
      <x:c r="H38" s="26" t="str">
        <x:v>Not publicly specified</x:v>
      </x:c>
      <x:c r="I38" s="26" t="str">
        <x:v>No public API documentation located</x:v>
      </x:c>
      <x:c r="J38" s="26" t="str">
        <x:v>No machine-readable export specification located</x:v>
      </x:c>
      <x:c r="K38" s="26" t="str">
        <x:v>No public API or current governance documentation located</x:v>
      </x:c>
      <x:c r="L38" s="26" t="str">
        <x:v>Not documented</x:v>
      </x:c>
      <x:c r="M38" s="26" t="str">
        <x:v>No explicit shared-identity integration documented</x:v>
      </x:c>
      <x:c r="N38" s="26" t="str">
        <x:v>No public data schema or conformance standard located</x:v>
      </x:c>
      <x:c r="O38" s="30" t="n">
        <x:v>1</x:v>
      </x:c>
      <x:c r="P38" s="26" t="str">
        <x:v>High unless export, API access and data rights are established</x:v>
      </x:c>
      <x:c r="Q38" s="26" t="str">
        <x:v>Catalog/referral or watchlist pending status and portability validation</x:v>
      </x:c>
      <x:c r="R38" s="26" t="str">
        <x:v>Confirm architecture, owner/maintainer, source escrow or release policy, license, API specification, authentication, data model, export/import, security testing, privacy impact, uptime/SLA, backups and exit plan.</x:v>
      </x:c>
      <x:c r="S38" s="32" t="str">
        <x:v>https://pidswebs.pids.gov.ph/CDN/document/pidsdps2329.pdf</x:v>
      </x:c>
      <x:c r="T38" s="32" t="str"/>
      <x:c r="U38" s="26" t="str">
        <x:v>2026-07-13</x:v>
      </x:c>
    </x:row>
    <x:row r="39" ht="58" customHeight="1">
      <x:c r="A39" s="26" t="str">
        <x:v>D2-035</x:v>
      </x:c>
      <x:c r="B39" s="26" t="str">
        <x:v>Pinoy Rice Knowledge Bank</x:v>
      </x:c>
      <x:c r="C39" s="26" t="str">
        <x:v>DA-PhilRice</x:v>
      </x:c>
      <x:c r="D39" s="26" t="str">
        <x:v>Web knowledge portal</x:v>
      </x:c>
      <x:c r="E39" s="26" t="str">
        <x:v>Public web/service interface; source code not publicly located</x:v>
      </x:c>
      <x:c r="F39" s="26" t="str">
        <x:v>No official public repository located</x:v>
      </x:c>
      <x:c r="G39" s="26" t="str">
        <x:v>https://www.pinoyrice.com/</x:v>
      </x:c>
      <x:c r="H39" s="26" t="str">
        <x:v>Not publicly specified</x:v>
      </x:c>
      <x:c r="I39" s="26" t="str">
        <x:v>No public API documentation located</x:v>
      </x:c>
      <x:c r="J39" s="26" t="str">
        <x:v>No machine-readable export specification located</x:v>
      </x:c>
      <x:c r="K39" s="26" t="str">
        <x:v>Content taxonomy, licensing and version metadata should be standardized</x:v>
      </x:c>
      <x:c r="L39" s="26" t="str">
        <x:v>Not documented</x:v>
      </x:c>
      <x:c r="M39" s="26" t="str">
        <x:v>No explicit shared-identity integration documented</x:v>
      </x:c>
      <x:c r="N39" s="26" t="str">
        <x:v>No public data schema or conformance standard located</x:v>
      </x:c>
      <x:c r="O39" s="30" t="n">
        <x:v>1</x:v>
      </x:c>
      <x:c r="P39" s="26" t="str">
        <x:v>High unless export, API access and data rights are established</x:v>
      </x:c>
      <x:c r="Q39" s="26" t="str">
        <x:v>Catalog + deep link/referral; require API/export roadmap before deeper SINAG integration</x:v>
      </x:c>
      <x:c r="R39" s="26" t="str">
        <x:v>Confirm architecture, owner/maintainer, source escrow or release policy, license, API specification, authentication, data model, export/import, security testing, privacy impact, uptime/SLA, backups and exit plan.</x:v>
      </x:c>
      <x:c r="S39" s="32" t="str">
        <x:v>https://www.pinoyrice.com/</x:v>
      </x:c>
      <x:c r="T39" s="32" t="str">
        <x:v>https://ati2.da.gov.ph/ati-car/content/article/bongbong-l-buli-e/digital-dawn-kalinga-rice-farmers-undergo-farm-learn-digital-technology</x:v>
      </x:c>
      <x:c r="U39" s="26" t="str">
        <x:v>2026-07-13</x:v>
      </x:c>
    </x:row>
    <x:row r="40" ht="58" customHeight="1">
      <x:c r="A40" s="26" t="str">
        <x:v>D2-036</x:v>
      </x:c>
      <x:c r="B40" s="26" t="str">
        <x:v>IRRI Rice Knowledge Bank</x:v>
      </x:c>
      <x:c r="C40" s="26" t="str">
        <x:v>International Rice Research Institute</x:v>
      </x:c>
      <x:c r="D40" s="26" t="str">
        <x:v>Web knowledge portal</x:v>
      </x:c>
      <x:c r="E40" s="26" t="str">
        <x:v>Public web/service interface; source code not publicly located</x:v>
      </x:c>
      <x:c r="F40" s="26" t="str">
        <x:v>No official public repository located</x:v>
      </x:c>
      <x:c r="G40" s="26" t="str">
        <x:v>https://www.knowledgebank.irri.org/</x:v>
      </x:c>
      <x:c r="H40" s="26" t="str">
        <x:v>Not publicly specified</x:v>
      </x:c>
      <x:c r="I40" s="26" t="str">
        <x:v>No public API documentation located</x:v>
      </x:c>
      <x:c r="J40" s="26" t="str">
        <x:v>No machine-readable export specification located</x:v>
      </x:c>
      <x:c r="K40" s="26" t="str">
        <x:v>Content may be linked subject to licensing and version control</x:v>
      </x:c>
      <x:c r="L40" s="26" t="str">
        <x:v>Not documented</x:v>
      </x:c>
      <x:c r="M40" s="26" t="str">
        <x:v>No explicit shared-identity integration documented</x:v>
      </x:c>
      <x:c r="N40" s="26" t="str">
        <x:v>Critical Tracking Events / Key Data Elements framework documented</x:v>
      </x:c>
      <x:c r="O40" s="30" t="n">
        <x:v>1</x:v>
      </x:c>
      <x:c r="P40" s="26" t="str">
        <x:v>High unless export, API access and data rights are established</x:v>
      </x:c>
      <x:c r="Q40" s="26" t="str">
        <x:v>Catalog/referral or watchlist pending status and portability validation</x:v>
      </x:c>
      <x:c r="R40" s="26" t="str">
        <x:v>Confirm architecture, owner/maintainer, source escrow or release policy, license, API specification, authentication, data model, export/import, security testing, privacy impact, uptime/SLA, backups and exit plan.</x:v>
      </x:c>
      <x:c r="S40" s="32" t="str">
        <x:v>https://www.knowledgebank.irri.org/</x:v>
      </x:c>
      <x:c r="T40" s="32" t="str">
        <x:v>https://ati2.da.gov.ph/ati-car/content/article/bongbong-l-buli-e/digital-dawn-kalinga-rice-farmers-undergo-farm-learn-digital-technology</x:v>
      </x:c>
      <x:c r="U40" s="26" t="str">
        <x:v>2026-07-13</x:v>
      </x:c>
    </x:row>
    <x:row r="41" ht="58" customHeight="1">
      <x:c r="A41" s="26" t="str">
        <x:v>D2-037</x:v>
      </x:c>
      <x:c r="B41" s="26" t="str">
        <x:v>Smarter Pest Identification Technology</x:v>
      </x:c>
      <x:c r="C41" s="26" t="str">
        <x:v>UP Los Baños / DOST-PCAARRD partners</x:v>
      </x:c>
      <x:c r="D41" s="26" t="str">
        <x:v>Mobile app, computer vision and knowledge base</x:v>
      </x:c>
      <x:c r="E41" s="26" t="str">
        <x:v>Public web/service interface; source code not publicly located</x:v>
      </x:c>
      <x:c r="F41" s="26" t="str">
        <x:v>No official public repository located</x:v>
      </x:c>
      <x:c r="G41" s="26" t="str">
        <x:v>https://spidtech.ph/</x:v>
      </x:c>
      <x:c r="H41" s="26" t="str">
        <x:v>Not publicly specified</x:v>
      </x:c>
      <x:c r="I41" s="26" t="str">
        <x:v>No public API documentation located</x:v>
      </x:c>
      <x:c r="J41" s="26" t="str">
        <x:v>No machine-readable export specification located</x:v>
      </x:c>
      <x:c r="K41" s="26" t="str">
        <x:v>Images, location and diagnosis logs require consent and access controls</x:v>
      </x:c>
      <x:c r="L41" s="26" t="str">
        <x:v>Not documented</x:v>
      </x:c>
      <x:c r="M41" s="26" t="str">
        <x:v>No explicit shared-identity integration documented</x:v>
      </x:c>
      <x:c r="N41" s="26" t="str">
        <x:v>No public data schema or conformance standard located</x:v>
      </x:c>
      <x:c r="O41" s="30" t="n">
        <x:v>1</x:v>
      </x:c>
      <x:c r="P41" s="26" t="str">
        <x:v>High unless export, API access and data rights are established</x:v>
      </x:c>
      <x:c r="Q41" s="26" t="str">
        <x:v>Catalog + deep link/referral; require API/export roadmap before deeper SINAG integration</x:v>
      </x:c>
      <x:c r="R41" s="26" t="str">
        <x:v>Confirm architecture, owner/maintainer, source escrow or release policy, license, API specification, authentication, data model, export/import, security testing, privacy impact, uptime/SLA, backups and exit plan.</x:v>
      </x:c>
      <x:c r="S41" s="32" t="str">
        <x:v>https://spidtech.ph/</x:v>
      </x:c>
      <x:c r="T41" s="32" t="str">
        <x:v>https://ati2.da.gov.ph/ati-car/content/article/bongbong-l-buli-e/digital-dawn-kalinga-rice-farmers-undergo-farm-learn-digital-technology</x:v>
      </x:c>
      <x:c r="U41" s="26" t="str">
        <x:v>2026-07-13</x:v>
      </x:c>
    </x:row>
    <x:row r="42" ht="58" customHeight="1">
      <x:c r="A42" s="26" t="str">
        <x:v>D2-038</x:v>
      </x:c>
      <x:c r="B42" s="26" t="str">
        <x:v>Image-based Pest Diagnosis for Enhanced Agriculture in Region II</x:v>
      </x:c>
      <x:c r="C42" s="26" t="str">
        <x:v>DA Regional Field Office II and partners</x:v>
      </x:c>
      <x:c r="D42" s="26" t="str">
        <x:v>AI image diagnosis and mobile concept</x:v>
      </x:c>
      <x:c r="E42" s="26" t="str">
        <x:v>Public web/service interface; source code not publicly located</x:v>
      </x:c>
      <x:c r="F42" s="26" t="str">
        <x:v>No official public repository located</x:v>
      </x:c>
      <x:c r="G42" s="26" t="str">
        <x:v>https://cagayanvalley.da.gov.ph/2025/07/10/technology-nutrition-and-innovation-a-3-in-1-celebration-of-digital-agriculture-national-nutrition-month-food-revolution-region-02-champouradu/</x:v>
      </x:c>
      <x:c r="H42" s="26" t="str">
        <x:v>Not publicly specified</x:v>
      </x:c>
      <x:c r="I42" s="26" t="str">
        <x:v>No public API documentation located</x:v>
      </x:c>
      <x:c r="J42" s="26" t="str">
        <x:v>No machine-readable export specification located</x:v>
      </x:c>
      <x:c r="K42" s="26" t="str">
        <x:v>Image and location governance should be designed from inception</x:v>
      </x:c>
      <x:c r="L42" s="26" t="str">
        <x:v>Not documented</x:v>
      </x:c>
      <x:c r="M42" s="26" t="str">
        <x:v>No explicit shared-identity integration documented</x:v>
      </x:c>
      <x:c r="N42" s="26" t="str">
        <x:v>No public data schema or conformance standard located</x:v>
      </x:c>
      <x:c r="O42" s="30" t="n">
        <x:v>1</x:v>
      </x:c>
      <x:c r="P42" s="26" t="str">
        <x:v>High unless export, API access and data rights are established</x:v>
      </x:c>
      <x:c r="Q42" s="26" t="str">
        <x:v>Catalog/referral or watchlist pending status and portability validation</x:v>
      </x:c>
      <x:c r="R42" s="26" t="str">
        <x:v>Confirm architecture, owner/maintainer, source escrow or release policy, license, API specification, authentication, data model, export/import, security testing, privacy impact, uptime/SLA, backups and exit plan.</x:v>
      </x:c>
      <x:c r="S42" s="32" t="str">
        <x:v>https://cagayanvalley.da.gov.ph/2025/07/10/technology-nutrition-and-innovation-a-3-in-1-celebration-of-digital-agriculture-national-nutrition-month-food-revolution-region-02-champouradu/</x:v>
      </x:c>
      <x:c r="T42" s="32" t="str"/>
      <x:c r="U42" s="26" t="str">
        <x:v>2026-07-13</x:v>
      </x:c>
    </x:row>
    <x:row r="43" ht="58" customHeight="1">
      <x:c r="A43" s="26" t="str">
        <x:v>D2-039</x:v>
      </x:c>
      <x:c r="B43" s="26" t="str">
        <x:v>Precision and Digital Agriculture Center</x:v>
      </x:c>
      <x:c r="C43" s="26" t="str">
        <x:v>Central Luzon State University</x:v>
      </x:c>
      <x:c r="D43" s="26" t="str">
        <x:v>Center, laboratories and demonstrations</x:v>
      </x:c>
      <x:c r="E43" s="26" t="str">
        <x:v>Public web/service interface; source code not publicly located</x:v>
      </x:c>
      <x:c r="F43" s="26" t="str">
        <x:v>No official public repository located</x:v>
      </x:c>
      <x:c r="G43" s="26" t="str">
        <x:v>https://pidswebs.pids.gov.ph/CDN/document/pidsdps2329.pdf</x:v>
      </x:c>
      <x:c r="H43" s="26" t="str">
        <x:v>Not publicly specified</x:v>
      </x:c>
      <x:c r="I43" s="26" t="str">
        <x:v>No public API documentation located</x:v>
      </x:c>
      <x:c r="J43" s="26" t="str">
        <x:v>No machine-readable export specification located</x:v>
      </x:c>
      <x:c r="K43" s="26" t="str">
        <x:v>Can host interoperability and usability testing under institutional policies</x:v>
      </x:c>
      <x:c r="L43" s="26" t="str">
        <x:v>Not documented</x:v>
      </x:c>
      <x:c r="M43" s="26" t="str">
        <x:v>No explicit shared-identity integration documented</x:v>
      </x:c>
      <x:c r="N43" s="26" t="str">
        <x:v>No public data schema or conformance standard located</x:v>
      </x:c>
      <x:c r="O43" s="30" t="n">
        <x:v>1</x:v>
      </x:c>
      <x:c r="P43" s="26" t="str">
        <x:v>High unless export, API access and data rights are established</x:v>
      </x:c>
      <x:c r="Q43" s="26" t="str">
        <x:v>Catalog + deep link/referral; require API/export roadmap before deeper SINAG integration</x:v>
      </x:c>
      <x:c r="R43" s="26" t="str">
        <x:v>Confirm architecture, owner/maintainer, source escrow or release policy, license, API specification, authentication, data model, export/import, security testing, privacy impact, uptime/SLA, backups and exit plan.</x:v>
      </x:c>
      <x:c r="S43" s="32" t="str">
        <x:v>https://pidswebs.pids.gov.ph/CDN/document/pidsdps2329.pdf</x:v>
      </x:c>
      <x:c r="T43" s="32" t="str">
        <x:v>https://clsu.edu.ph/</x:v>
      </x:c>
      <x:c r="U43" s="26" t="str">
        <x:v>2026-07-13</x:v>
      </x:c>
    </x:row>
    <x:row r="44" ht="58" customHeight="1">
      <x:c r="A44" s="26" t="str">
        <x:v>D2-040</x:v>
      </x:c>
      <x:c r="B44" s="26" t="str">
        <x:v>e-Extension Program for Agriculture and Fisheries</x:v>
      </x:c>
      <x:c r="C44" s="26" t="str">
        <x:v>DA-Agricultural Training Institute</x:v>
      </x:c>
      <x:c r="D44" s="26" t="str">
        <x:v>Web learning portal and online courses</x:v>
      </x:c>
      <x:c r="E44" s="26" t="str">
        <x:v>Public web/service interface; source code not publicly located</x:v>
      </x:c>
      <x:c r="F44" s="26" t="str">
        <x:v>No official public repository located</x:v>
      </x:c>
      <x:c r="G44" s="26" t="str">
        <x:v>https://elearn.e-extension.gov.ph/</x:v>
      </x:c>
      <x:c r="H44" s="26" t="str">
        <x:v>Not publicly specified</x:v>
      </x:c>
      <x:c r="I44" s="26" t="str">
        <x:v>No public API documentation located</x:v>
      </x:c>
      <x:c r="J44" s="26" t="str">
        <x:v>No machine-readable export specification located</x:v>
      </x:c>
      <x:c r="K44" s="26" t="str">
        <x:v>Learner data and course analytics require consent and retention rules</x:v>
      </x:c>
      <x:c r="L44" s="26" t="str">
        <x:v>Not documented</x:v>
      </x:c>
      <x:c r="M44" s="26" t="str">
        <x:v>No explicit shared-identity integration documented</x:v>
      </x:c>
      <x:c r="N44" s="26" t="str">
        <x:v>No public data schema or conformance standard located</x:v>
      </x:c>
      <x:c r="O44" s="30" t="n">
        <x:v>1</x:v>
      </x:c>
      <x:c r="P44" s="26" t="str">
        <x:v>High unless export, API access and data rights are established</x:v>
      </x:c>
      <x:c r="Q44" s="26" t="str">
        <x:v>Catalog + deep link/referral; require API/export roadmap before deeper SINAG integration</x:v>
      </x:c>
      <x:c r="R44" s="26" t="str">
        <x:v>Confirm architecture, owner/maintainer, source escrow or release policy, license, API specification, authentication, data model, export/import, security testing, privacy impact, uptime/SLA, backups and exit plan.</x:v>
      </x:c>
      <x:c r="S44" s="32" t="str">
        <x:v>https://elearn.e-extension.gov.ph/</x:v>
      </x:c>
      <x:c r="T44" s="32" t="str">
        <x:v>https://ati2.da.gov.ph/ati-4a/content/e-learningMAUBAN</x:v>
      </x:c>
      <x:c r="U44" s="26" t="str">
        <x:v>2026-07-13</x:v>
      </x:c>
    </x:row>
    <x:row r="45" ht="58" customHeight="1">
      <x:c r="A45" s="26" t="str">
        <x:v>D2-041</x:v>
      </x:c>
      <x:c r="B45" s="26" t="str">
        <x:v>Farmers' Contact Center / e-Farming</x:v>
      </x:c>
      <x:c r="C45" s="26" t="str">
        <x:v>DA-Agricultural Training Institute</x:v>
      </x:c>
      <x:c r="D45" s="26" t="str">
        <x:v>Omnichannel human contact center</x:v>
      </x:c>
      <x:c r="E45" s="26" t="str">
        <x:v>Public web/service interface; source code not publicly located</x:v>
      </x:c>
      <x:c r="F45" s="26" t="str">
        <x:v>No official public repository located</x:v>
      </x:c>
      <x:c r="G45" s="26" t="str">
        <x:v>https://ati2.da.gov.ph/ati-3/content/information-services</x:v>
      </x:c>
      <x:c r="H45" s="26" t="str">
        <x:v>Not publicly specified</x:v>
      </x:c>
      <x:c r="I45" s="26" t="str">
        <x:v>No public API documentation located</x:v>
      </x:c>
      <x:c r="J45" s="26" t="str">
        <x:v>No machine-readable export specification located</x:v>
      </x:c>
      <x:c r="K45" s="26" t="str">
        <x:v>Personal queries and farm information need secure case management</x:v>
      </x:c>
      <x:c r="L45" s="26" t="str">
        <x:v>Not documented</x:v>
      </x:c>
      <x:c r="M45" s="26" t="str">
        <x:v>No explicit shared-identity integration documented</x:v>
      </x:c>
      <x:c r="N45" s="26" t="str">
        <x:v>No public data schema or conformance standard located</x:v>
      </x:c>
      <x:c r="O45" s="30" t="n">
        <x:v>1</x:v>
      </x:c>
      <x:c r="P45" s="26" t="str">
        <x:v>High unless export, API access and data rights are established</x:v>
      </x:c>
      <x:c r="Q45" s="26" t="str">
        <x:v>Catalog + deep link/referral; require API/export roadmap before deeper SINAG integration</x:v>
      </x:c>
      <x:c r="R45" s="26" t="str">
        <x:v>Confirm architecture, owner/maintainer, source escrow or release policy, license, API specification, authentication, data model, export/import, security testing, privacy impact, uptime/SLA, backups and exit plan.</x:v>
      </x:c>
      <x:c r="S45" s="32" t="str">
        <x:v>https://ati2.da.gov.ph/ati-3/content/information-services</x:v>
      </x:c>
      <x:c r="T45" s="32" t="str"/>
      <x:c r="U45" s="26" t="str">
        <x:v>2026-07-13</x:v>
      </x:c>
    </x:row>
    <x:row r="46" ht="58" customHeight="1">
      <x:c r="A46" s="26" t="str">
        <x:v>D2-042</x:v>
      </x:c>
      <x:c r="B46" s="26" t="str">
        <x:v>Digital Farmers Program</x:v>
      </x:c>
      <x:c r="C46" s="26" t="str">
        <x:v>DA-Agricultural Training Institute and Smart Communications</x:v>
      </x:c>
      <x:c r="D46" s="26" t="str">
        <x:v>Ladderized face-to-face training plus digital tools</x:v>
      </x:c>
      <x:c r="E46" s="26" t="str">
        <x:v>Proprietary or not publicly released; no official repository located</x:v>
      </x:c>
      <x:c r="F46" s="26" t="str">
        <x:v>No official public repository located</x:v>
      </x:c>
      <x:c r="G46" s="26" t="str">
        <x:v>https://ati2.da.gov.ph/ati-4a/content/DFPinBonPen</x:v>
      </x:c>
      <x:c r="H46" s="26" t="str">
        <x:v>Not publicly specified</x:v>
      </x:c>
      <x:c r="I46" s="26" t="str">
        <x:v>No public API documentation located</x:v>
      </x:c>
      <x:c r="J46" s="26" t="str">
        <x:v>No machine-readable export specification located</x:v>
      </x:c>
      <x:c r="K46" s="26" t="str">
        <x:v>Participant data and telecom partnerships require transparent consent</x:v>
      </x:c>
      <x:c r="L46" s="26" t="str">
        <x:v>Not documented</x:v>
      </x:c>
      <x:c r="M46" s="26" t="str">
        <x:v>No explicit shared-identity integration documented</x:v>
      </x:c>
      <x:c r="N46" s="26" t="str">
        <x:v>No public data schema or conformance standard located</x:v>
      </x:c>
      <x:c r="O46" s="30" t="n">
        <x:v>1</x:v>
      </x:c>
      <x:c r="P46" s="26" t="str">
        <x:v>High unless export, API access and data rights are established</x:v>
      </x:c>
      <x:c r="Q46" s="26" t="str">
        <x:v>Catalog + deep link/referral; require API/export roadmap before deeper SINAG integration</x:v>
      </x:c>
      <x:c r="R46" s="26" t="str">
        <x:v>Confirm architecture, owner/maintainer, source escrow or release policy, license, API specification, authentication, data model, export/import, security testing, privacy impact, uptime/SLA, backups and exit plan.</x:v>
      </x:c>
      <x:c r="S46" s="32" t="str">
        <x:v>https://ati2.da.gov.ph/ati-4a/content/DFPinBonPen</x:v>
      </x:c>
      <x:c r="T46" s="32" t="str">
        <x:v>https://ati2.da.gov.ph/ati-car/content/article/bongbong-l-buli-e/digital-dawn-kalinga-rice-farmers-undergo-farm-learn-digital-technology</x:v>
      </x:c>
      <x:c r="U46" s="26" t="str">
        <x:v>2026-07-13</x:v>
      </x:c>
    </x:row>
    <x:row r="47" ht="58" customHeight="1">
      <x:c r="A47" s="26" t="str">
        <x:v>D2-043</x:v>
      </x:c>
      <x:c r="B47" s="26" t="str">
        <x:v>FarmSmart</x:v>
      </x:c>
      <x:c r="C47" s="26" t="str">
        <x:v>Private / research partners reported in PIDS</x:v>
      </x:c>
      <x:c r="D47" s="26" t="str">
        <x:v>Mobile and web platform</x:v>
      </x:c>
      <x:c r="E47" s="26" t="str">
        <x:v>Proprietary or not publicly released; no official repository located</x:v>
      </x:c>
      <x:c r="F47" s="26" t="str">
        <x:v>No official public repository located</x:v>
      </x:c>
      <x:c r="G47" s="26" t="str">
        <x:v>https://pidswebs.pids.gov.ph/CDN/document/pidsdps2329.pdf</x:v>
      </x:c>
      <x:c r="H47" s="26" t="str">
        <x:v>Not publicly specified</x:v>
      </x:c>
      <x:c r="I47" s="26" t="str">
        <x:v>No public API documentation located</x:v>
      </x:c>
      <x:c r="J47" s="26" t="str">
        <x:v>No machine-readable export specification located</x:v>
      </x:c>
      <x:c r="K47" s="26" t="str">
        <x:v>Interfaces, data portability and governance are not public</x:v>
      </x:c>
      <x:c r="L47" s="26" t="str">
        <x:v>Not documented</x:v>
      </x:c>
      <x:c r="M47" s="26" t="str">
        <x:v>No explicit shared-identity integration documented</x:v>
      </x:c>
      <x:c r="N47" s="26" t="str">
        <x:v>No public data schema or conformance standard located</x:v>
      </x:c>
      <x:c r="O47" s="30" t="n">
        <x:v>1</x:v>
      </x:c>
      <x:c r="P47" s="26" t="str">
        <x:v>High unless export, API access and data rights are established</x:v>
      </x:c>
      <x:c r="Q47" s="26" t="str">
        <x:v>Catalog/referral or watchlist pending status and portability validation</x:v>
      </x:c>
      <x:c r="R47" s="26" t="str">
        <x:v>Confirm architecture, owner/maintainer, source escrow or release policy, license, API specification, authentication, data model, export/import, security testing, privacy impact, uptime/SLA, backups and exit plan.</x:v>
      </x:c>
      <x:c r="S47" s="32" t="str">
        <x:v>https://pidswebs.pids.gov.ph/CDN/document/pidsdps2329.pdf</x:v>
      </x:c>
      <x:c r="T47" s="32" t="str"/>
      <x:c r="U47" s="26" t="str">
        <x:v>2026-07-13</x:v>
      </x:c>
    </x:row>
    <x:row r="48" ht="58" customHeight="1">
      <x:c r="A48" s="26" t="str">
        <x:v>D2-044</x:v>
      </x:c>
      <x:c r="B48" s="26" t="str">
        <x:v>Fresh Depot / CropIn-enabled Farmer Support</x:v>
      </x:c>
      <x:c r="C48" s="26" t="str">
        <x:v>Aboitiz Foundation / Pilmico and CropIn partners</x:v>
      </x:c>
      <x:c r="D48" s="26" t="str">
        <x:v>Commercial farm-management platform and assisted field support</x:v>
      </x:c>
      <x:c r="E48" s="26" t="str">
        <x:v>Proprietary or not publicly released; no official repository located</x:v>
      </x:c>
      <x:c r="F48" s="26" t="str">
        <x:v>No official public repository located</x:v>
      </x:c>
      <x:c r="G48" s="26" t="str">
        <x:v>https://pidswebs.pids.gov.ph/CDN/document/pidsdps2329.pdf</x:v>
      </x:c>
      <x:c r="H48" s="26" t="str">
        <x:v>Not publicly specified</x:v>
      </x:c>
      <x:c r="I48" s="26" t="str">
        <x:v>No public API documentation located</x:v>
      </x:c>
      <x:c r="J48" s="26" t="str">
        <x:v>No machine-readable export specification located</x:v>
      </x:c>
      <x:c r="K48" s="26" t="str">
        <x:v>Vendor platform may be proprietary; farmer data portability must be explicit</x:v>
      </x:c>
      <x:c r="L48" s="26" t="str">
        <x:v>Not documented</x:v>
      </x:c>
      <x:c r="M48" s="26" t="str">
        <x:v>No explicit shared-identity integration documented</x:v>
      </x:c>
      <x:c r="N48" s="26" t="str">
        <x:v>No public data schema or conformance standard located</x:v>
      </x:c>
      <x:c r="O48" s="30" t="n">
        <x:v>1</x:v>
      </x:c>
      <x:c r="P48" s="26" t="str">
        <x:v>High unless export, API access and data rights are established</x:v>
      </x:c>
      <x:c r="Q48" s="26" t="str">
        <x:v>Catalog/referral or watchlist pending status and portability validation</x:v>
      </x:c>
      <x:c r="R48" s="26" t="str">
        <x:v>Confirm architecture, owner/maintainer, source escrow or release policy, license, API specification, authentication, data model, export/import, security testing, privacy impact, uptime/SLA, backups and exit plan.</x:v>
      </x:c>
      <x:c r="S48" s="32" t="str">
        <x:v>https://pidswebs.pids.gov.ph/CDN/document/pidsdps2329.pdf</x:v>
      </x:c>
      <x:c r="T48" s="32" t="str">
        <x:v>https://www.cropin.com/</x:v>
      </x:c>
      <x:c r="U48" s="26" t="str">
        <x:v>2026-07-13</x:v>
      </x:c>
    </x:row>
    <x:row r="49" ht="58" customHeight="1">
      <x:c r="A49" s="26" t="str">
        <x:v>D2-045</x:v>
      </x:c>
      <x:c r="B49" s="26" t="str">
        <x:v>Gul.AI Plant Phenotyping Platform</x:v>
      </x:c>
      <x:c r="C49" s="26" t="str">
        <x:v>DOST-ASTI</x:v>
      </x:c>
      <x:c r="D49" s="26" t="str">
        <x:v>IoT sensors, cloud, AI and mobile control</x:v>
      </x:c>
      <x:c r="E49" s="26" t="str">
        <x:v>Public web/service interface; source code not publicly located</x:v>
      </x:c>
      <x:c r="F49" s="26" t="str">
        <x:v>No official public repository located</x:v>
      </x:c>
      <x:c r="G49" s="26" t="str">
        <x:v>https://asti.dost.gov.ph/communications/angsurian/2019/project-gul-ai-promoting-ai-technology-in-agriculture/</x:v>
      </x:c>
      <x:c r="H49" s="26" t="str">
        <x:v>Not publicly specified</x:v>
      </x:c>
      <x:c r="I49" s="26" t="str">
        <x:v>No public API documentation located</x:v>
      </x:c>
      <x:c r="J49" s="26" t="str">
        <x:v>No machine-readable export specification located</x:v>
      </x:c>
      <x:c r="K49" s="26" t="str">
        <x:v>Sensor and image schemas and access policies are not public</x:v>
      </x:c>
      <x:c r="L49" s="26" t="str">
        <x:v>Not documented</x:v>
      </x:c>
      <x:c r="M49" s="26" t="str">
        <x:v>No explicit shared-identity integration documented</x:v>
      </x:c>
      <x:c r="N49" s="26" t="str">
        <x:v>No public data schema or conformance standard located</x:v>
      </x:c>
      <x:c r="O49" s="30" t="n">
        <x:v>1</x:v>
      </x:c>
      <x:c r="P49" s="26" t="str">
        <x:v>High unless export, API access and data rights are established</x:v>
      </x:c>
      <x:c r="Q49" s="26" t="str">
        <x:v>Catalog/referral or watchlist pending status and portability validation</x:v>
      </x:c>
      <x:c r="R49" s="26" t="str">
        <x:v>Confirm architecture, owner/maintainer, source escrow or release policy, license, API specification, authentication, data model, export/import, security testing, privacy impact, uptime/SLA, backups and exit plan.</x:v>
      </x:c>
      <x:c r="S49" s="32" t="str">
        <x:v>https://asti.dost.gov.ph/communications/angsurian/2019/project-gul-ai-promoting-ai-technology-in-agriculture/</x:v>
      </x:c>
      <x:c r="T49" s="32" t="str"/>
      <x:c r="U49" s="26" t="str">
        <x:v>2026-07-13</x:v>
      </x:c>
    </x:row>
    <x:row r="50" ht="58" customHeight="1">
      <x:c r="A50" s="26" t="str">
        <x:v>D2-046</x:v>
      </x:c>
      <x:c r="B50" s="26" t="str">
        <x:v>arQ / PhilSensors Remote Data Acquisition Platform</x:v>
      </x:c>
      <x:c r="C50" s="26" t="str">
        <x:v>DOST-ASTI</x:v>
      </x:c>
      <x:c r="D50" s="26" t="str">
        <x:v>IoT hardware, communications and dashboard</x:v>
      </x:c>
      <x:c r="E50" s="26" t="str">
        <x:v>Public web/service interface; source code not publicly located</x:v>
      </x:c>
      <x:c r="F50" s="26" t="str">
        <x:v>No official public repository located</x:v>
      </x:c>
      <x:c r="G50" s="26" t="str">
        <x:v>https://asti.dost.gov.ph/wp-content/uploads/2024-DOST-ASTI-Annual-Report.pdf</x:v>
      </x:c>
      <x:c r="H50" s="26" t="str">
        <x:v>Not publicly specified</x:v>
      </x:c>
      <x:c r="I50" s="26" t="str">
        <x:v>No public API documentation located</x:v>
      </x:c>
      <x:c r="J50" s="26" t="str">
        <x:v>No machine-readable export specification located</x:v>
      </x:c>
      <x:c r="K50" s="26" t="str">
        <x:v>Open sensor schemas, device identity and APIs should be published</x:v>
      </x:c>
      <x:c r="L50" s="26" t="str">
        <x:v>Not documented</x:v>
      </x:c>
      <x:c r="M50" s="26" t="str">
        <x:v>No explicit shared-identity integration documented</x:v>
      </x:c>
      <x:c r="N50" s="26" t="str">
        <x:v>Geospatial exchange is relevant; CRS, metadata and service standards are not publicly documented</x:v>
      </x:c>
      <x:c r="O50" s="30" t="n">
        <x:v>1</x:v>
      </x:c>
      <x:c r="P50" s="26" t="str">
        <x:v>High unless export, API access and data rights are established</x:v>
      </x:c>
      <x:c r="Q50" s="26" t="str">
        <x:v>Catalog + deep link/referral; require API/export roadmap before deeper SINAG integration</x:v>
      </x:c>
      <x:c r="R50" s="26" t="str">
        <x:v>Confirm architecture, owner/maintainer, source escrow or release policy, license, API specification, authentication, data model, export/import, security testing, privacy impact, uptime/SLA, backups and exit plan.</x:v>
      </x:c>
      <x:c r="S50" s="32" t="str">
        <x:v>https://asti.dost.gov.ph/wp-content/uploads/2024-DOST-ASTI-Annual-Report.pdf</x:v>
      </x:c>
      <x:c r="T50" s="32" t="str"/>
      <x:c r="U50" s="26" t="str">
        <x:v>2026-07-13</x:v>
      </x:c>
    </x:row>
    <x:row r="51" ht="58" customHeight="1">
      <x:c r="A51" s="26" t="str">
        <x:v>D2-047</x:v>
      </x:c>
      <x:c r="B51" s="26" t="str">
        <x:v>Smart Aquafarm Feeder and Monitoring System in Highly Turbid Conditions</x:v>
      </x:c>
      <x:c r="C51" s="26" t="str">
        <x:v>DOST-ASTI and partners</x:v>
      </x:c>
      <x:c r="D51" s="26" t="str">
        <x:v>AI, sensors and automated feeder</x:v>
      </x:c>
      <x:c r="E51" s="26" t="str">
        <x:v>Public web/service interface; source code not publicly located</x:v>
      </x:c>
      <x:c r="F51" s="26" t="str">
        <x:v>No official public repository located</x:v>
      </x:c>
      <x:c r="G51" s="26" t="str">
        <x:v>https://asti.dost.gov.ph/wp-content/uploads/ASTI-PPAs-2026-v2-FDL_17-June-26.pdf</x:v>
      </x:c>
      <x:c r="H51" s="26" t="str">
        <x:v>Not publicly specified</x:v>
      </x:c>
      <x:c r="I51" s="26" t="str">
        <x:v>No public API documentation located</x:v>
      </x:c>
      <x:c r="J51" s="26" t="str">
        <x:v>No machine-readable export specification located</x:v>
      </x:c>
      <x:c r="K51" s="26" t="str">
        <x:v>Farm production data are sensitive; device and event schemas need standards</x:v>
      </x:c>
      <x:c r="L51" s="26" t="str">
        <x:v>Not documented</x:v>
      </x:c>
      <x:c r="M51" s="26" t="str">
        <x:v>No explicit shared-identity integration documented</x:v>
      </x:c>
      <x:c r="N51" s="26" t="str">
        <x:v>No public data schema or conformance standard located</x:v>
      </x:c>
      <x:c r="O51" s="30" t="n">
        <x:v>1</x:v>
      </x:c>
      <x:c r="P51" s="26" t="str">
        <x:v>High unless export, API access and data rights are established</x:v>
      </x:c>
      <x:c r="Q51" s="26" t="str">
        <x:v>Catalog/referral or watchlist pending status and portability validation</x:v>
      </x:c>
      <x:c r="R51" s="26" t="str">
        <x:v>Confirm architecture, owner/maintainer, source escrow or release policy, license, API specification, authentication, data model, export/import, security testing, privacy impact, uptime/SLA, backups and exit plan.</x:v>
      </x:c>
      <x:c r="S51" s="32" t="str">
        <x:v>https://asti.dost.gov.ph/wp-content/uploads/ASTI-PPAs-2026-v2-FDL_17-June-26.pdf</x:v>
      </x:c>
      <x:c r="T51" s="32" t="str"/>
      <x:c r="U51" s="26" t="str">
        <x:v>2026-07-13</x:v>
      </x:c>
    </x:row>
    <x:row r="52" ht="58" customHeight="1">
      <x:c r="A52" s="26" t="str">
        <x:v>D2-048</x:v>
      </x:c>
      <x:c r="B52" s="26" t="str">
        <x:v>Aquaculture Wireless Ammonia Sensor Network for IoT Application</x:v>
      </x:c>
      <x:c r="C52" s="26" t="str">
        <x:v>DOST-ASTI and partners</x:v>
      </x:c>
      <x:c r="D52" s="26" t="str">
        <x:v>Sensors, edge computing and long-range communications</x:v>
      </x:c>
      <x:c r="E52" s="26" t="str">
        <x:v>Public web/service interface; source code not publicly located</x:v>
      </x:c>
      <x:c r="F52" s="26" t="str">
        <x:v>No official public repository located</x:v>
      </x:c>
      <x:c r="G52" s="26" t="str">
        <x:v>https://asti.dost.gov.ph/wp-content/uploads/ASTI-PPAs-2026-v2-FDL_17-June-26.pdf</x:v>
      </x:c>
      <x:c r="H52" s="26" t="str">
        <x:v>Not publicly specified</x:v>
      </x:c>
      <x:c r="I52" s="26" t="str">
        <x:v>No public API documentation located</x:v>
      </x:c>
      <x:c r="J52" s="26" t="str">
        <x:v>No machine-readable export specification located</x:v>
      </x:c>
      <x:c r="K52" s="26" t="str">
        <x:v>Use open observations, calibration, alert and maintenance records</x:v>
      </x:c>
      <x:c r="L52" s="26" t="str">
        <x:v>Not documented</x:v>
      </x:c>
      <x:c r="M52" s="26" t="str">
        <x:v>No explicit shared-identity integration documented</x:v>
      </x:c>
      <x:c r="N52" s="26" t="str">
        <x:v>No public data schema or conformance standard located</x:v>
      </x:c>
      <x:c r="O52" s="30" t="n">
        <x:v>1</x:v>
      </x:c>
      <x:c r="P52" s="26" t="str">
        <x:v>High unless export, API access and data rights are established</x:v>
      </x:c>
      <x:c r="Q52" s="26" t="str">
        <x:v>Catalog + deep link/referral; require API/export roadmap before deeper SINAG integration</x:v>
      </x:c>
      <x:c r="R52" s="26" t="str">
        <x:v>Confirm architecture, owner/maintainer, source escrow or release policy, license, API specification, authentication, data model, export/import, security testing, privacy impact, uptime/SLA, backups and exit plan.</x:v>
      </x:c>
      <x:c r="S52" s="32" t="str">
        <x:v>https://asti.dost.gov.ph/wp-content/uploads/ASTI-PPAs-2026-v2-FDL_17-June-26.pdf</x:v>
      </x:c>
      <x:c r="T52" s="32" t="str"/>
      <x:c r="U52" s="26" t="str">
        <x:v>2026-07-13</x:v>
      </x:c>
    </x:row>
    <x:row r="53" ht="58" customHeight="1">
      <x:c r="A53" s="26" t="str">
        <x:v>D2-049</x:v>
      </x:c>
      <x:c r="B53" s="26" t="str">
        <x:v>Smart Water Irrigation for Rice Farming through IoT</x:v>
      </x:c>
      <x:c r="C53" s="26" t="str">
        <x:v>Philippine academic researchers</x:v>
      </x:c>
      <x:c r="D53" s="26" t="str">
        <x:v>Sensors, controllers and web/mobile interface</x:v>
      </x:c>
      <x:c r="E53" s="26" t="str">
        <x:v>Public web/service interface; source code not publicly located</x:v>
      </x:c>
      <x:c r="F53" s="26" t="str">
        <x:v>No official public repository located</x:v>
      </x:c>
      <x:c r="G53" s="26" t="str">
        <x:v>https://arxiv.org/abs/2402.07917</x:v>
      </x:c>
      <x:c r="H53" s="26" t="str">
        <x:v>Not publicly specified</x:v>
      </x:c>
      <x:c r="I53" s="26" t="str">
        <x:v>No public API documentation located</x:v>
      </x:c>
      <x:c r="J53" s="26" t="str">
        <x:v>No machine-readable export specification located</x:v>
      </x:c>
      <x:c r="K53" s="26" t="str">
        <x:v>Architecture and data governance are not established</x:v>
      </x:c>
      <x:c r="L53" s="26" t="str">
        <x:v>Not documented</x:v>
      </x:c>
      <x:c r="M53" s="26" t="str">
        <x:v>No explicit shared-identity integration documented</x:v>
      </x:c>
      <x:c r="N53" s="26" t="str">
        <x:v>No public data schema or conformance standard located</x:v>
      </x:c>
      <x:c r="O53" s="30" t="n">
        <x:v>1</x:v>
      </x:c>
      <x:c r="P53" s="26" t="str">
        <x:v>High unless export, API access and data rights are established</x:v>
      </x:c>
      <x:c r="Q53" s="26" t="str">
        <x:v>Catalog/referral or watchlist pending status and portability validation</x:v>
      </x:c>
      <x:c r="R53" s="26" t="str">
        <x:v>Confirm architecture, owner/maintainer, source escrow or release policy, license, API specification, authentication, data model, export/import, security testing, privacy impact, uptime/SLA, backups and exit plan.</x:v>
      </x:c>
      <x:c r="S53" s="32" t="str">
        <x:v>https://arxiv.org/abs/2402.07917</x:v>
      </x:c>
      <x:c r="T53" s="32" t="str">
        <x:v>https://www.researchgate.net/profile/Joenil-Frayco/publication/392274343_A_Review_of_Digital_Technologies_in_Plant_Disease_and_Pest_Management_within_Philippine_Agriculture/links/687f329fb3294610e9b8f317/A-Review-of-Digital-Technologies-in-Plant-Disease-and-Pest-Management-within-Philippine_Agriculture.pdf</x:v>
      </x:c>
      <x:c r="U53" s="26" t="str">
        <x:v>2026-07-13</x:v>
      </x:c>
    </x:row>
    <x:row r="54" ht="58" customHeight="1">
      <x:c r="A54" s="26" t="str">
        <x:v>D2-050</x:v>
      </x:c>
      <x:c r="B54" s="26" t="str">
        <x:v>FASTRAC Banana Drone Mapping and Field Analytics</x:v>
      </x:c>
      <x:c r="C54" s="26" t="str">
        <x:v>DOST-ASTI / DOST-PCIEERD and industry partners</x:v>
      </x:c>
      <x:c r="D54" s="26" t="str">
        <x:v>UAV imagery, field data and analytics</x:v>
      </x:c>
      <x:c r="E54" s="26" t="str">
        <x:v>Proprietary or not publicly released; no official repository located</x:v>
      </x:c>
      <x:c r="F54" s="26" t="str">
        <x:v>No official public repository located</x:v>
      </x:c>
      <x:c r="G54" s="26" t="str">
        <x:v>https://asti.dost.gov.ph/wp-content/uploads/ASTI-PPAs-2026-v2-FDL_17-June-26.pdf</x:v>
      </x:c>
      <x:c r="H54" s="26" t="str">
        <x:v>Not publicly specified</x:v>
      </x:c>
      <x:c r="I54" s="26" t="str">
        <x:v>No public API documentation located</x:v>
      </x:c>
      <x:c r="J54" s="26" t="str">
        <x:v>No machine-readable export specification located</x:v>
      </x:c>
      <x:c r="K54" s="26" t="str">
        <x:v>High-resolution imagery and commercial farm data require clear ownership</x:v>
      </x:c>
      <x:c r="L54" s="26" t="str">
        <x:v>Not documented</x:v>
      </x:c>
      <x:c r="M54" s="26" t="str">
        <x:v>No explicit shared-identity integration documented</x:v>
      </x:c>
      <x:c r="N54" s="26" t="str">
        <x:v>No public data schema or conformance standard located</x:v>
      </x:c>
      <x:c r="O54" s="30" t="n">
        <x:v>1</x:v>
      </x:c>
      <x:c r="P54" s="26" t="str">
        <x:v>High unless export, API access and data rights are established</x:v>
      </x:c>
      <x:c r="Q54" s="26" t="str">
        <x:v>Catalog + deep link/referral; require API/export roadmap before deeper SINAG integration</x:v>
      </x:c>
      <x:c r="R54" s="26" t="str">
        <x:v>Confirm architecture, owner/maintainer, source escrow or release policy, license, API specification, authentication, data model, export/import, security testing, privacy impact, uptime/SLA, backups and exit plan.</x:v>
      </x:c>
      <x:c r="S54" s="32" t="str">
        <x:v>https://asti.dost.gov.ph/wp-content/uploads/ASTI-PPAs-2026-v2-FDL_17-June-26.pdf</x:v>
      </x:c>
      <x:c r="T54" s="32" t="str"/>
      <x:c r="U54" s="26" t="str">
        <x:v>2026-07-13</x:v>
      </x:c>
    </x:row>
    <x:row r="55" ht="58" customHeight="1">
      <x:c r="A55" s="26" t="str">
        <x:v>D2-051</x:v>
      </x:c>
      <x:c r="B55" s="26" t="str">
        <x:v>AgriDOM Digital Agriculture and Drone Services Platform</x:v>
      </x:c>
      <x:c r="C55" s="26" t="str">
        <x:v>AgriDOM Solutions Corporation</x:v>
      </x:c>
      <x:c r="D55" s="26" t="str">
        <x:v>Agricultural drones, platform and service network</x:v>
      </x:c>
      <x:c r="E55" s="26" t="str">
        <x:v>Proprietary or not publicly released; no official repository located</x:v>
      </x:c>
      <x:c r="F55" s="26" t="str">
        <x:v>No official public repository located</x:v>
      </x:c>
      <x:c r="G55" s="26" t="str">
        <x:v>https://agridomcorp.com/</x:v>
      </x:c>
      <x:c r="H55" s="26" t="str">
        <x:v>Not publicly specified</x:v>
      </x:c>
      <x:c r="I55" s="26" t="str">
        <x:v>No public API documentation located</x:v>
      </x:c>
      <x:c r="J55" s="26" t="str">
        <x:v>No machine-readable export specification located</x:v>
      </x:c>
      <x:c r="K55" s="26" t="str">
        <x:v>Farm maps, spray records and customer data need portability and consent</x:v>
      </x:c>
      <x:c r="L55" s="26" t="str">
        <x:v>Not documented</x:v>
      </x:c>
      <x:c r="M55" s="26" t="str">
        <x:v>No explicit shared-identity integration documented</x:v>
      </x:c>
      <x:c r="N55" s="26" t="str">
        <x:v>No public data schema or conformance standard located</x:v>
      </x:c>
      <x:c r="O55" s="30" t="n">
        <x:v>1</x:v>
      </x:c>
      <x:c r="P55" s="26" t="str">
        <x:v>High unless export, API access and data rights are established</x:v>
      </x:c>
      <x:c r="Q55" s="26" t="str">
        <x:v>Catalog + deep link/referral; require API/export roadmap before deeper SINAG integration</x:v>
      </x:c>
      <x:c r="R55" s="26" t="str">
        <x:v>Confirm architecture, owner/maintainer, source escrow or release policy, license, API specification, authentication, data model, export/import, security testing, privacy impact, uptime/SLA, backups and exit plan.</x:v>
      </x:c>
      <x:c r="S55" s="32" t="str">
        <x:v>https://agridomcorp.com/</x:v>
      </x:c>
      <x:c r="T55" s="32" t="str">
        <x:v>https://bworldonline.com/bw-launchpad/2025/07/02/682592/agridom-promotes-smart-farming-with-drones/</x:v>
      </x:c>
      <x:c r="U55" s="26" t="str">
        <x:v>2026-07-13</x:v>
      </x:c>
    </x:row>
    <x:row r="56" ht="58" customHeight="1">
      <x:c r="A56" s="26" t="str">
        <x:v>D2-052</x:v>
      </x:c>
      <x:c r="B56" s="26" t="str">
        <x:v>Del Monte Philippines Drone Mapping Platforms</x:v>
      </x:c>
      <x:c r="C56" s="26" t="str">
        <x:v>Del Monte Philippines and technology partners</x:v>
      </x:c>
      <x:c r="D56" s="26" t="str">
        <x:v>UAV and geospatial analytics</x:v>
      </x:c>
      <x:c r="E56" s="26" t="str">
        <x:v>Proprietary or not publicly released; no official repository located</x:v>
      </x:c>
      <x:c r="F56" s="26" t="str">
        <x:v>No official public repository located</x:v>
      </x:c>
      <x:c r="G56" s="26" t="str">
        <x:v>https://www.irri.org/news-and-events/news/philippines-stakeholders-are-charting-future-digital-agriculture</x:v>
      </x:c>
      <x:c r="H56" s="26" t="str">
        <x:v>Not publicly specified</x:v>
      </x:c>
      <x:c r="I56" s="26" t="str">
        <x:v>No public API documentation located</x:v>
      </x:c>
      <x:c r="J56" s="26" t="str">
        <x:v>No machine-readable export specification located</x:v>
      </x:c>
      <x:c r="K56" s="26" t="str">
        <x:v>Commercial imagery and operations data are sensitive and likely proprietary</x:v>
      </x:c>
      <x:c r="L56" s="26" t="str">
        <x:v>Not documented</x:v>
      </x:c>
      <x:c r="M56" s="26" t="str">
        <x:v>No explicit shared-identity integration documented</x:v>
      </x:c>
      <x:c r="N56" s="26" t="str">
        <x:v>Geospatial exchange is relevant; CRS, metadata and service standards are not publicly documented</x:v>
      </x:c>
      <x:c r="O56" s="30" t="n">
        <x:v>1</x:v>
      </x:c>
      <x:c r="P56" s="26" t="str">
        <x:v>High unless export, API access and data rights are established</x:v>
      </x:c>
      <x:c r="Q56" s="26" t="str">
        <x:v>Catalog/referral or watchlist pending status and portability validation</x:v>
      </x:c>
      <x:c r="R56" s="26" t="str">
        <x:v>Confirm architecture, owner/maintainer, source escrow or release policy, license, API specification, authentication, data model, export/import, security testing, privacy impact, uptime/SLA, backups and exit plan.</x:v>
      </x:c>
      <x:c r="S56" s="32" t="str">
        <x:v>https://www.irri.org/news-and-events/news/philippines-stakeholders-are-charting-future-digital-agriculture</x:v>
      </x:c>
      <x:c r="T56" s="32" t="str"/>
      <x:c r="U56" s="26" t="str">
        <x:v>2026-07-13</x:v>
      </x:c>
    </x:row>
    <x:row r="57" ht="58" customHeight="1">
      <x:c r="A57" s="26" t="str">
        <x:v>D2-053</x:v>
      </x:c>
      <x:c r="B57" s="26" t="str">
        <x:v>Solar-Powered Indoor Growing System for Localized Agriculture</x:v>
      </x:c>
      <x:c r="C57" s="26" t="str">
        <x:v>UP Los Baños and partners</x:v>
      </x:c>
      <x:c r="D57" s="26" t="str">
        <x:v>Controlled environment, sensors and modular farm</x:v>
      </x:c>
      <x:c r="E57" s="26" t="str">
        <x:v>Public web/service interface; source code not publicly located</x:v>
      </x:c>
      <x:c r="F57" s="26" t="str">
        <x:v>No official public repository located</x:v>
      </x:c>
      <x:c r="G57" s="26" t="str">
        <x:v>https://www.irri.org/news-and-events/news/philippines-stakeholders-are-charting-future-digital-agriculture</x:v>
      </x:c>
      <x:c r="H57" s="26" t="str">
        <x:v>Not publicly specified</x:v>
      </x:c>
      <x:c r="I57" s="26" t="str">
        <x:v>No public API documentation located</x:v>
      </x:c>
      <x:c r="J57" s="26" t="str">
        <x:v>No machine-readable export specification located</x:v>
      </x:c>
      <x:c r="K57" s="26" t="str">
        <x:v>System interfaces and operational-data governance are not public</x:v>
      </x:c>
      <x:c r="L57" s="26" t="str">
        <x:v>Not documented</x:v>
      </x:c>
      <x:c r="M57" s="26" t="str">
        <x:v>No explicit shared-identity integration documented</x:v>
      </x:c>
      <x:c r="N57" s="26" t="str">
        <x:v>No public data schema or conformance standard located</x:v>
      </x:c>
      <x:c r="O57" s="30" t="n">
        <x:v>1</x:v>
      </x:c>
      <x:c r="P57" s="26" t="str">
        <x:v>High unless export, API access and data rights are established</x:v>
      </x:c>
      <x:c r="Q57" s="26" t="str">
        <x:v>Catalog/referral or watchlist pending status and portability validation</x:v>
      </x:c>
      <x:c r="R57" s="26" t="str">
        <x:v>Confirm architecture, owner/maintainer, source escrow or release policy, license, API specification, authentication, data model, export/import, security testing, privacy impact, uptime/SLA, backups and exit plan.</x:v>
      </x:c>
      <x:c r="S57" s="32" t="str">
        <x:v>https://www.irri.org/news-and-events/news/philippines-stakeholders-are-charting-future-digital-agriculture</x:v>
      </x:c>
      <x:c r="T57" s="32" t="str">
        <x:v>https://ovcre.uplb.edu.ph/</x:v>
      </x:c>
      <x:c r="U57" s="26" t="str">
        <x:v>2026-07-13</x:v>
      </x:c>
    </x:row>
    <x:row r="58" ht="58" customHeight="1">
      <x:c r="A58" s="26" t="str">
        <x:v>D2-054</x:v>
      </x:c>
      <x:c r="B58" s="26" t="str">
        <x:v>Municipal Fisherfolk Registration System</x:v>
      </x:c>
      <x:c r="C58" s="26" t="str">
        <x:v>DA-Bureau of Fisheries and Aquatic Resources</x:v>
      </x:c>
      <x:c r="D58" s="26" t="str">
        <x:v>Government registry and database</x:v>
      </x:c>
      <x:c r="E58" s="26" t="str">
        <x:v>Public web/service interface; source code not publicly located</x:v>
      </x:c>
      <x:c r="F58" s="26" t="str">
        <x:v>No official public repository located</x:v>
      </x:c>
      <x:c r="G58" s="26" t="str">
        <x:v>https://region5.bfar.da.gov.ph/fishr-and-boatr/</x:v>
      </x:c>
      <x:c r="H58" s="26" t="str">
        <x:v>Not publicly specified</x:v>
      </x:c>
      <x:c r="I58" s="26" t="str">
        <x:v>No public API documentation located</x:v>
      </x:c>
      <x:c r="J58" s="26" t="str">
        <x:v>No machine-readable export specification located</x:v>
      </x:c>
      <x:c r="K58" s="26" t="str">
        <x:v>Personal and livelihood data require consent, correction and role-based access</x:v>
      </x:c>
      <x:c r="L58" s="26" t="str">
        <x:v>Not documented</x:v>
      </x:c>
      <x:c r="M58" s="26" t="str">
        <x:v>Government registry, credential or linked program identity is central</x:v>
      </x:c>
      <x:c r="N58" s="26" t="str">
        <x:v>No public data schema or conformance standard located</x:v>
      </x:c>
      <x:c r="O58" s="30" t="n">
        <x:v>1</x:v>
      </x:c>
      <x:c r="P58" s="26" t="str">
        <x:v>High unless export, API access and data rights are established</x:v>
      </x:c>
      <x:c r="Q58" s="26" t="str">
        <x:v>Catalog + deep link/referral; require API/export roadmap before deeper SINAG integration</x:v>
      </x:c>
      <x:c r="R58" s="26" t="str">
        <x:v>Confirm architecture, owner/maintainer, source escrow or release policy, license, API specification, authentication, data model, export/import, security testing, privacy impact, uptime/SLA, backups and exit plan.</x:v>
      </x:c>
      <x:c r="S58" s="32" t="str">
        <x:v>https://region5.bfar.da.gov.ph/fishr-and-boatr/</x:v>
      </x:c>
      <x:c r="T58" s="32" t="str">
        <x:v>https://region9.bfar.da.gov.ph/national-program-for-municipal-fisherfolk-registration/</x:v>
      </x:c>
      <x:c r="U58" s="26" t="str">
        <x:v>2026-07-13</x:v>
      </x:c>
    </x:row>
    <x:row r="59" ht="58" customHeight="1">
      <x:c r="A59" s="26" t="str">
        <x:v>D2-055</x:v>
      </x:c>
      <x:c r="B59" s="26" t="str">
        <x:v>National Program for Municipal Fishing Boats and Gears Registration</x:v>
      </x:c>
      <x:c r="C59" s="26" t="str">
        <x:v>DA-Bureau of Fisheries and Aquatic Resources</x:v>
      </x:c>
      <x:c r="D59" s="26" t="str">
        <x:v>Government registry and database</x:v>
      </x:c>
      <x:c r="E59" s="26" t="str">
        <x:v>Public web/service interface; source code not publicly located</x:v>
      </x:c>
      <x:c r="F59" s="26" t="str">
        <x:v>No official public repository located</x:v>
      </x:c>
      <x:c r="G59" s="26" t="str">
        <x:v>https://boatr.bfar.da.gov.ph/</x:v>
      </x:c>
      <x:c r="H59" s="26" t="str">
        <x:v>Not publicly specified</x:v>
      </x:c>
      <x:c r="I59" s="26" t="str">
        <x:v>No public API documentation located</x:v>
      </x:c>
      <x:c r="J59" s="26" t="str">
        <x:v>No machine-readable export specification located</x:v>
      </x:c>
      <x:c r="K59" s="26" t="str">
        <x:v>Persistent vessel/gear IDs and controlled owner data are required</x:v>
      </x:c>
      <x:c r="L59" s="26" t="str">
        <x:v>Not documented</x:v>
      </x:c>
      <x:c r="M59" s="26" t="str">
        <x:v>Government registry, credential or linked program identity is central</x:v>
      </x:c>
      <x:c r="N59" s="26" t="str">
        <x:v>No public data schema or conformance standard located</x:v>
      </x:c>
      <x:c r="O59" s="30" t="n">
        <x:v>1</x:v>
      </x:c>
      <x:c r="P59" s="26" t="str">
        <x:v>High unless export, API access and data rights are established</x:v>
      </x:c>
      <x:c r="Q59" s="26" t="str">
        <x:v>Catalog + deep link/referral; require API/export roadmap before deeper SINAG integration</x:v>
      </x:c>
      <x:c r="R59" s="26" t="str">
        <x:v>Confirm architecture, owner/maintainer, source escrow or release policy, license, API specification, authentication, data model, export/import, security testing, privacy impact, uptime/SLA, backups and exit plan.</x:v>
      </x:c>
      <x:c r="S59" s="32" t="str">
        <x:v>https://boatr.bfar.da.gov.ph/</x:v>
      </x:c>
      <x:c r="T59" s="32" t="str">
        <x:v>https://region9.bfar.da.gov.ph/national-program-for-municipal-fishing-vessels-and-gears-registration/</x:v>
      </x:c>
      <x:c r="U59" s="26" t="str">
        <x:v>2026-07-13</x:v>
      </x:c>
    </x:row>
    <x:row r="60" ht="58" customHeight="1">
      <x:c r="A60" s="26" t="str">
        <x:v>D2-056</x:v>
      </x:c>
      <x:c r="B60" s="26" t="str">
        <x:v>Fishing Vessels e-Licensing System</x:v>
      </x:c>
      <x:c r="C60" s="26" t="str">
        <x:v>DA-Bureau of Fisheries and Aquatic Resources</x:v>
      </x:c>
      <x:c r="D60" s="26" t="str">
        <x:v>Web information system</x:v>
      </x:c>
      <x:c r="E60" s="26" t="str">
        <x:v>Public web/service interface; source code not publicly located</x:v>
      </x:c>
      <x:c r="F60" s="26" t="str">
        <x:v>No official public repository located</x:v>
      </x:c>
      <x:c r="G60" s="26" t="str">
        <x:v>https://www.bfar.da.gov.ph/wp-content/uploads/2022/11/2021-Fisheries-Profile-FINAL-FILE.pdf</x:v>
      </x:c>
      <x:c r="H60" s="26" t="str">
        <x:v>Not publicly specified</x:v>
      </x:c>
      <x:c r="I60" s="26" t="str">
        <x:v>No public API documentation located</x:v>
      </x:c>
      <x:c r="J60" s="26" t="str">
        <x:v>No machine-readable export specification located</x:v>
      </x:c>
      <x:c r="K60" s="26" t="str">
        <x:v>Commercial, owner, vessel and compliance data need role-based access</x:v>
      </x:c>
      <x:c r="L60" s="26" t="str">
        <x:v>Not documented</x:v>
      </x:c>
      <x:c r="M60" s="26" t="str">
        <x:v>Role-based user access is described; federation is not</x:v>
      </x:c>
      <x:c r="N60" s="26" t="str">
        <x:v>No public data schema or conformance standard located</x:v>
      </x:c>
      <x:c r="O60" s="30" t="n">
        <x:v>1</x:v>
      </x:c>
      <x:c r="P60" s="26" t="str">
        <x:v>High unless export, API access and data rights are established</x:v>
      </x:c>
      <x:c r="Q60" s="26" t="str">
        <x:v>Catalog + deep link/referral; require API/export roadmap before deeper SINAG integration</x:v>
      </x:c>
      <x:c r="R60" s="26" t="str">
        <x:v>Confirm architecture, owner/maintainer, source escrow or release policy, license, API specification, authentication, data model, export/import, security testing, privacy impact, uptime/SLA, backups and exit plan.</x:v>
      </x:c>
      <x:c r="S60" s="32" t="str">
        <x:v>https://www.bfar.da.gov.ph/wp-content/uploads/2022/11/2021-Fisheries-Profile-FINAL-FILE.pdf</x:v>
      </x:c>
      <x:c r="T60" s="32" t="str">
        <x:v>https://www.bfar.da.gov.ph/</x:v>
      </x:c>
      <x:c r="U60" s="26" t="str">
        <x:v>2026-07-13</x:v>
      </x:c>
    </x:row>
    <x:row r="61" ht="58" customHeight="1">
      <x:c r="A61" s="26" t="str">
        <x:v>D2-057</x:v>
      </x:c>
      <x:c r="B61" s="26" t="str">
        <x:v>Vessel Monitoring Measures / Vessel Monitoring System</x:v>
      </x:c>
      <x:c r="C61" s="26" t="str">
        <x:v>DA-Bureau of Fisheries and Aquatic Resources</x:v>
      </x:c>
      <x:c r="D61" s="26" t="str">
        <x:v>Satellite or non-satellite tracking and monitoring center</x:v>
      </x:c>
      <x:c r="E61" s="26" t="str">
        <x:v>Public web/service interface; source code not publicly located</x:v>
      </x:c>
      <x:c r="F61" s="26" t="str">
        <x:v>No official public repository located</x:v>
      </x:c>
      <x:c r="G61" s="26" t="str">
        <x:v>https://www.bfar.da.gov.ph/wp-content/uploads/2021/04/FAO-No.-266-s.-2020.pdf</x:v>
      </x:c>
      <x:c r="H61" s="26" t="str">
        <x:v>Not publicly specified</x:v>
      </x:c>
      <x:c r="I61" s="26" t="str">
        <x:v>Secure regulatory integration is expected/documented; public API access is appropriately restricted</x:v>
      </x:c>
      <x:c r="J61" s="26" t="str">
        <x:v>Regulatory exchange exists; public export is restricted or not documented</x:v>
      </x:c>
      <x:c r="K61" s="26" t="str">
        <x:v>Raw vessel tracks are highly sensitive and require secure role-based integration</x:v>
      </x:c>
      <x:c r="L61" s="26" t="str">
        <x:v>Not documented</x:v>
      </x:c>
      <x:c r="M61" s="26" t="str">
        <x:v>Role-based user access is described; federation is not</x:v>
      </x:c>
      <x:c r="N61" s="26" t="str">
        <x:v>Regulatory identifiers/events are documented; public technical schemas are not</x:v>
      </x:c>
      <x:c r="O61" s="30" t="n">
        <x:v>2</x:v>
      </x:c>
      <x:c r="P61" s="26" t="str">
        <x:v>Medium; internal integration exists but external portability is unproven</x:v>
      </x:c>
      <x:c r="Q61" s="26" t="str">
        <x:v>Governed connector/API or scheduled exchange with shared IDs, metadata and audit logs</x:v>
      </x:c>
      <x:c r="R61" s="26" t="str">
        <x:v>Confirm architecture, owner/maintainer, source escrow or release policy, license, API specification, authentication, data model, export/import, security testing, privacy impact, uptime/SLA, backups and exit plan.</x:v>
      </x:c>
      <x:c r="S61" s="32" t="str">
        <x:v>https://www.bfar.da.gov.ph/wp-content/uploads/2021/04/FAO-No.-266-s.-2020.pdf</x:v>
      </x:c>
      <x:c r="T61" s="32" t="str">
        <x:v>https://www.bfar.da.gov.ph/wp-content/uploads/2024/11/Philippine-IUU-Fishing-Assessment-Report-2023-300dpi.pdf</x:v>
      </x:c>
      <x:c r="U61" s="26" t="str">
        <x:v>2026-07-13</x:v>
      </x:c>
    </x:row>
    <x:row r="62" ht="58" customHeight="1">
      <x:c r="A62" s="26" t="str">
        <x:v>D2-058</x:v>
      </x:c>
      <x:c r="B62" s="26" t="str">
        <x:v>Electronic Reporting System for Commercial Fishing Vessels</x:v>
      </x:c>
      <x:c r="C62" s="26" t="str">
        <x:v>DA-Bureau of Fisheries and Aquatic Resources</x:v>
      </x:c>
      <x:c r="D62" s="26" t="str">
        <x:v>Electronic onboard reporting and transmission</x:v>
      </x:c>
      <x:c r="E62" s="26" t="str">
        <x:v>Public web/service interface; source code not publicly located</x:v>
      </x:c>
      <x:c r="F62" s="26" t="str">
        <x:v>No official public repository located</x:v>
      </x:c>
      <x:c r="G62" s="26" t="str">
        <x:v>https://www.bfar.da.gov.ph/wp-content/uploads/2021/04/FAO-No.-266-s.-2020.pdf</x:v>
      </x:c>
      <x:c r="H62" s="26" t="str">
        <x:v>Not publicly specified</x:v>
      </x:c>
      <x:c r="I62" s="26" t="str">
        <x:v>Secure regulatory integration is expected/documented; public API access is appropriately restricted</x:v>
      </x:c>
      <x:c r="J62" s="26" t="str">
        <x:v>Regulatory exchange exists; public export is restricted or not documented</x:v>
      </x:c>
      <x:c r="K62" s="26" t="str">
        <x:v>Species, gear, trip, vessel and landing identifiers need audit trails</x:v>
      </x:c>
      <x:c r="L62" s="26" t="str">
        <x:v>Not documented</x:v>
      </x:c>
      <x:c r="M62" s="26" t="str">
        <x:v>No explicit shared-identity integration documented</x:v>
      </x:c>
      <x:c r="N62" s="26" t="str">
        <x:v>Regulatory identifiers/events are documented; public technical schemas are not</x:v>
      </x:c>
      <x:c r="O62" s="30" t="n">
        <x:v>2</x:v>
      </x:c>
      <x:c r="P62" s="26" t="str">
        <x:v>Medium; internal integration exists but external portability is unproven</x:v>
      </x:c>
      <x:c r="Q62" s="26" t="str">
        <x:v>Governed connector/API or scheduled exchange with shared IDs, metadata and audit logs</x:v>
      </x:c>
      <x:c r="R62" s="26" t="str">
        <x:v>Confirm architecture, owner/maintainer, source escrow or release policy, license, API specification, authentication, data model, export/import, security testing, privacy impact, uptime/SLA, backups and exit plan.</x:v>
      </x:c>
      <x:c r="S62" s="32" t="str">
        <x:v>https://www.bfar.da.gov.ph/wp-content/uploads/2021/04/FAO-No.-266-s.-2020.pdf</x:v>
      </x:c>
      <x:c r="T62" s="32" t="str">
        <x:v>https://www.bfar.da.gov.ph/wp-content/uploads/2024/11/Philippine-IUU-Fishing-Assessment-Report-2023-300dpi.pdf</x:v>
      </x:c>
      <x:c r="U62" s="26" t="str">
        <x:v>2026-07-13</x:v>
      </x:c>
    </x:row>
    <x:row r="63" ht="58" customHeight="1">
      <x:c r="A63" s="26" t="str">
        <x:v>D2-059</x:v>
      </x:c>
      <x:c r="B63" s="26" t="str">
        <x:v>Electronic Catch Documentation and Traceability System</x:v>
      </x:c>
      <x:c r="C63" s="26" t="str">
        <x:v>DA-BFAR and LGUs</x:v>
      </x:c>
      <x:c r="D63" s="26" t="str">
        <x:v>Electronic documentation, databases and identifiers</x:v>
      </x:c>
      <x:c r="E63" s="26" t="str">
        <x:v>Public web/service interface; source code not publicly located</x:v>
      </x:c>
      <x:c r="F63" s="26" t="str">
        <x:v>No official public repository located</x:v>
      </x:c>
      <x:c r="G63" s="26" t="str">
        <x:v>https://www.bfar.da.gov.ph/wp-content/uploads/2021/04/CPHMAIP20182022.pdf</x:v>
      </x:c>
      <x:c r="H63" s="26" t="str">
        <x:v>Not publicly specified</x:v>
      </x:c>
      <x:c r="I63" s="26" t="str">
        <x:v>Secure regulatory integration is expected/documented; public API access is appropriately restricted</x:v>
      </x:c>
      <x:c r="J63" s="26" t="str">
        <x:v>Regulatory exchange exists; public export is restricted or not documented</x:v>
      </x:c>
      <x:c r="K63" s="26" t="str">
        <x:v>Minimum datasets should interoperate with FishR, BoatR and stock assessment</x:v>
      </x:c>
      <x:c r="L63" s="26" t="str">
        <x:v>Offline capability documented</x:v>
      </x:c>
      <x:c r="M63" s="26" t="str">
        <x:v>No explicit shared-identity integration documented</x:v>
      </x:c>
      <x:c r="N63" s="26" t="str">
        <x:v>Regulatory identifiers/events are documented; public technical schemas are not</x:v>
      </x:c>
      <x:c r="O63" s="30" t="n">
        <x:v>3</x:v>
      </x:c>
      <x:c r="P63" s="26" t="str">
        <x:v>Medium–Low for governed exchange; public implementation details remain limited</x:v>
      </x:c>
      <x:c r="Q63" s="26" t="str">
        <x:v>Governed connector/API or scheduled exchange with shared IDs, metadata and audit logs</x:v>
      </x:c>
      <x:c r="R63" s="26" t="str">
        <x:v>Confirm architecture, owner/maintainer, source escrow or release policy, license, API specification, authentication, data model, export/import, security testing, privacy impact, uptime/SLA, backups and exit plan.</x:v>
      </x:c>
      <x:c r="S63" s="32" t="str">
        <x:v>https://www.bfar.da.gov.ph/wp-content/uploads/2021/04/CPHMAIP20182022.pdf</x:v>
      </x:c>
      <x:c r="T63" s="32" t="str">
        <x:v>https://www.bfar.da.gov.ph/fisheries-policy/policies/</x:v>
      </x:c>
      <x:c r="U63" s="26" t="str">
        <x:v>2026-07-13</x:v>
      </x:c>
    </x:row>
    <x:row r="64" ht="58" customHeight="1">
      <x:c r="A64" s="26" t="str">
        <x:v>D2-060</x:v>
      </x:c>
      <x:c r="B64" s="26" t="str">
        <x:v>National Stock Assessment Program Information System</x:v>
      </x:c>
      <x:c r="C64" s="26" t="str">
        <x:v>DA-Bureau of Fisheries and Aquatic Resources</x:v>
      </x:c>
      <x:c r="D64" s="26" t="str">
        <x:v>Field data collection, database and analytics</x:v>
      </x:c>
      <x:c r="E64" s="26" t="str">
        <x:v>Public web/service interface; source code not publicly located</x:v>
      </x:c>
      <x:c r="F64" s="26" t="str">
        <x:v>No official public repository located</x:v>
      </x:c>
      <x:c r="G64" s="26" t="str">
        <x:v>https://www.bfar.da.gov.ph/</x:v>
      </x:c>
      <x:c r="H64" s="26" t="str">
        <x:v>Not publicly specified</x:v>
      </x:c>
      <x:c r="I64" s="26" t="str">
        <x:v>No public API documentation located</x:v>
      </x:c>
      <x:c r="J64" s="26" t="str">
        <x:v>No machine-readable export specification located</x:v>
      </x:c>
      <x:c r="K64" s="26" t="str">
        <x:v>Sensitive fisheries data need secure exchange and aggregated public release</x:v>
      </x:c>
      <x:c r="L64" s="26" t="str">
        <x:v>Not documented</x:v>
      </x:c>
      <x:c r="M64" s="26" t="str">
        <x:v>No explicit shared-identity integration documented</x:v>
      </x:c>
      <x:c r="N64" s="26" t="str">
        <x:v>No public data schema or conformance standard located</x:v>
      </x:c>
      <x:c r="O64" s="30" t="n">
        <x:v>1</x:v>
      </x:c>
      <x:c r="P64" s="26" t="str">
        <x:v>High unless export, API access and data rights are established</x:v>
      </x:c>
      <x:c r="Q64" s="26" t="str">
        <x:v>Catalog + deep link/referral; require API/export roadmap before deeper SINAG integration</x:v>
      </x:c>
      <x:c r="R64" s="26" t="str">
        <x:v>Confirm architecture, owner/maintainer, source escrow or release policy, license, API specification, authentication, data model, export/import, security testing, privacy impact, uptime/SLA, backups and exit plan.</x:v>
      </x:c>
      <x:c r="S64" s="32" t="str">
        <x:v>https://www.bfar.da.gov.ph/</x:v>
      </x:c>
      <x:c r="T64" s="32" t="str">
        <x:v>https://www.bfar.da.gov.ph/wp-content/uploads/2021/05/DraftDA-DILGJAOonCatchDocumentationinMunicipalWaterscopy.pdf</x:v>
      </x:c>
      <x:c r="U64" s="26" t="str">
        <x:v>2026-07-13</x:v>
      </x:c>
    </x:row>
    <x:row r="65" ht="58" customHeight="1">
      <x:c r="A65" s="26" t="str">
        <x:v>D2-061</x:v>
      </x:c>
      <x:c r="B65" s="26" t="str">
        <x:v>Special Area for Agricultural Development Database</x:v>
      </x:c>
      <x:c r="C65" s="26" t="str">
        <x:v>Department of Agriculture / BFAR SAAD Program</x:v>
      </x:c>
      <x:c r="D65" s="26" t="str">
        <x:v>Government web database and MIS</x:v>
      </x:c>
      <x:c r="E65" s="26" t="str">
        <x:v>Public web/service interface; source code not publicly located</x:v>
      </x:c>
      <x:c r="F65" s="26" t="str">
        <x:v>No official public repository located</x:v>
      </x:c>
      <x:c r="G65" s="26" t="str">
        <x:v>https://www.bfar.da.gov.ph/wp-content/uploads/2024/04/ITDD-Guidelines.pdf</x:v>
      </x:c>
      <x:c r="H65" s="26" t="str">
        <x:v>Not publicly specified</x:v>
      </x:c>
      <x:c r="I65" s="26" t="str">
        <x:v>No public API documentation located</x:v>
      </x:c>
      <x:c r="J65" s="26" t="str">
        <x:v>No machine-readable export specification located</x:v>
      </x:c>
      <x:c r="K65" s="26" t="str">
        <x:v>Guidelines reference RSBSA IDs; personal data require controlled access</x:v>
      </x:c>
      <x:c r="L65" s="26" t="str">
        <x:v>Not documented</x:v>
      </x:c>
      <x:c r="M65" s="26" t="str">
        <x:v>RSBSA/farmer identity linkage is described</x:v>
      </x:c>
      <x:c r="N65" s="26" t="str">
        <x:v>No public data schema or conformance standard located</x:v>
      </x:c>
      <x:c r="O65" s="30" t="n">
        <x:v>1</x:v>
      </x:c>
      <x:c r="P65" s="26" t="str">
        <x:v>High unless export, API access and data rights are established</x:v>
      </x:c>
      <x:c r="Q65" s="26" t="str">
        <x:v>Catalog + deep link/referral; require API/export roadmap before deeper SINAG integration</x:v>
      </x:c>
      <x:c r="R65" s="26" t="str">
        <x:v>Confirm architecture, owner/maintainer, source escrow or release policy, license, API specification, authentication, data model, export/import, security testing, privacy impact, uptime/SLA, backups and exit plan.</x:v>
      </x:c>
      <x:c r="S65" s="32" t="str">
        <x:v>https://www.bfar.da.gov.ph/wp-content/uploads/2024/04/ITDD-Guidelines.pdf</x:v>
      </x:c>
      <x:c r="T65" s="32" t="str"/>
      <x:c r="U65" s="26" t="str">
        <x:v>2026-07-13</x:v>
      </x:c>
    </x:row>
    <x:row r="66" ht="58" customHeight="1">
      <x:c r="A66" s="26" t="str">
        <x:v>D2-062</x:v>
      </x:c>
      <x:c r="B66" s="26" t="str">
        <x:v>Philippine Rapid Alert System for Food and Feed</x:v>
      </x:c>
      <x:c r="C66" s="26" t="str">
        <x:v>Philippine food-safety authorities and DA agencies</x:v>
      </x:c>
      <x:c r="D66" s="26" t="str">
        <x:v>Web alert and information exchange</x:v>
      </x:c>
      <x:c r="E66" s="26" t="str">
        <x:v>Public web/service interface; source code not publicly located</x:v>
      </x:c>
      <x:c r="F66" s="26" t="str">
        <x:v>No official public repository located</x:v>
      </x:c>
      <x:c r="G66" s="26" t="str">
        <x:v>https://www.bfar.da.gov.ph/wp-content/uploads/2021/04/CPHMAIP20182022.pdf</x:v>
      </x:c>
      <x:c r="H66" s="26" t="str">
        <x:v>Not publicly specified</x:v>
      </x:c>
      <x:c r="I66" s="26" t="str">
        <x:v>No public API documentation located</x:v>
      </x:c>
      <x:c r="J66" s="26" t="str">
        <x:v>No machine-readable export specification located</x:v>
      </x:c>
      <x:c r="K66" s="26" t="str">
        <x:v>Incident and business data require controlled disclosure</x:v>
      </x:c>
      <x:c r="L66" s="26" t="str">
        <x:v>Not documented</x:v>
      </x:c>
      <x:c r="M66" s="26" t="str">
        <x:v>No explicit shared-identity integration documented</x:v>
      </x:c>
      <x:c r="N66" s="26" t="str">
        <x:v>No public data schema or conformance standard located</x:v>
      </x:c>
      <x:c r="O66" s="30" t="n">
        <x:v>1</x:v>
      </x:c>
      <x:c r="P66" s="26" t="str">
        <x:v>High unless export, API access and data rights are established</x:v>
      </x:c>
      <x:c r="Q66" s="26" t="str">
        <x:v>Catalog/referral or watchlist pending status and portability validation</x:v>
      </x:c>
      <x:c r="R66" s="26" t="str">
        <x:v>Confirm architecture, owner/maintainer, source escrow or release policy, license, API specification, authentication, data model, export/import, security testing, privacy impact, uptime/SLA, backups and exit plan.</x:v>
      </x:c>
      <x:c r="S66" s="32" t="str">
        <x:v>https://www.bfar.da.gov.ph/wp-content/uploads/2021/04/CPHMAIP20182022.pdf</x:v>
      </x:c>
      <x:c r="T66" s="32" t="str"/>
      <x:c r="U66" s="26" t="str">
        <x:v>2026-07-13</x:v>
      </x:c>
    </x:row>
    <x:row r="67" ht="58" customHeight="1">
      <x:c r="A67" s="26" t="str">
        <x:v>D2-063</x:v>
      </x:c>
      <x:c r="B67" s="26" t="str">
        <x:v>Cost-Effective Marine Vessel Monitoring Platform through AIS Systems and Surveillance</x:v>
      </x:c>
      <x:c r="C67" s="26" t="str">
        <x:v>DOST-ASTI</x:v>
      </x:c>
      <x:c r="D67" s="26" t="str">
        <x:v>AIS receivers, geospatial platform and analytics</x:v>
      </x:c>
      <x:c r="E67" s="26" t="str">
        <x:v>Public web/service interface; source code not publicly located</x:v>
      </x:c>
      <x:c r="F67" s="26" t="str">
        <x:v>No official public repository located</x:v>
      </x:c>
      <x:c r="G67" s="26" t="str">
        <x:v>https://asti.dost.gov.ph/wp-content/uploads/ASTI-PPAs-2026-v2-FDL_17-June-26.pdf</x:v>
      </x:c>
      <x:c r="H67" s="26" t="str">
        <x:v>Not publicly specified</x:v>
      </x:c>
      <x:c r="I67" s="26" t="str">
        <x:v>No public API documentation located</x:v>
      </x:c>
      <x:c r="J67" s="26" t="str">
        <x:v>No machine-readable export specification located</x:v>
      </x:c>
      <x:c r="K67" s="26" t="str">
        <x:v>Vessel tracks and security data require strict role-based governance</x:v>
      </x:c>
      <x:c r="L67" s="26" t="str">
        <x:v>Not documented</x:v>
      </x:c>
      <x:c r="M67" s="26" t="str">
        <x:v>Role-based user access is described; federation is not</x:v>
      </x:c>
      <x:c r="N67" s="26" t="str">
        <x:v>Geospatial exchange is relevant; CRS, metadata and service standards are not publicly documented</x:v>
      </x:c>
      <x:c r="O67" s="30" t="n">
        <x:v>1</x:v>
      </x:c>
      <x:c r="P67" s="26" t="str">
        <x:v>High unless export, API access and data rights are established</x:v>
      </x:c>
      <x:c r="Q67" s="26" t="str">
        <x:v>Catalog/referral or watchlist pending status and portability validation</x:v>
      </x:c>
      <x:c r="R67" s="26" t="str">
        <x:v>Confirm architecture, owner/maintainer, source escrow or release policy, license, API specification, authentication, data model, export/import, security testing, privacy impact, uptime/SLA, backups and exit plan.</x:v>
      </x:c>
      <x:c r="S67" s="32" t="str">
        <x:v>https://asti.dost.gov.ph/wp-content/uploads/ASTI-PPAs-2026-v2-FDL_17-June-26.pdf</x:v>
      </x:c>
      <x:c r="T67" s="32" t="str"/>
      <x:c r="U67" s="26" t="str">
        <x:v>2026-07-13</x:v>
      </x:c>
    </x:row>
    <x:row r="68" ht="58" customHeight="1">
      <x:c r="A68" s="26" t="str">
        <x:v>D2-064</x:v>
      </x:c>
      <x:c r="B68" s="26" t="str">
        <x:v>Philippine Animal Health Information System</x:v>
      </x:c>
      <x:c r="C68" s="26" t="str">
        <x:v>DA-Bureau of Animal Industry</x:v>
      </x:c>
      <x:c r="D68" s="26" t="str">
        <x:v>Web reporting system and dashboards</x:v>
      </x:c>
      <x:c r="E68" s="26" t="str">
        <x:v>Public web/service interface; source code not publicly located</x:v>
      </x:c>
      <x:c r="F68" s="26" t="str">
        <x:v>No official public repository located</x:v>
      </x:c>
      <x:c r="G68" s="26" t="str">
        <x:v>https://radss-philahis.bai.gov.ph/</x:v>
      </x:c>
      <x:c r="H68" s="26" t="str">
        <x:v>Not publicly specified</x:v>
      </x:c>
      <x:c r="I68" s="26" t="str">
        <x:v>No public API documentation located</x:v>
      </x:c>
      <x:c r="J68" s="26" t="str">
        <x:v>No machine-readable export specification located</x:v>
      </x:c>
      <x:c r="K68" s="26" t="str">
        <x:v>Owner, premise, location and health data are sensitive</x:v>
      </x:c>
      <x:c r="L68" s="26" t="str">
        <x:v>Not documented</x:v>
      </x:c>
      <x:c r="M68" s="26" t="str">
        <x:v>No explicit shared-identity integration documented</x:v>
      </x:c>
      <x:c r="N68" s="26" t="str">
        <x:v>No public data schema or conformance standard located</x:v>
      </x:c>
      <x:c r="O68" s="30" t="n">
        <x:v>1</x:v>
      </x:c>
      <x:c r="P68" s="26" t="str">
        <x:v>High unless export, API access and data rights are established</x:v>
      </x:c>
      <x:c r="Q68" s="26" t="str">
        <x:v>Catalog + deep link/referral; require API/export roadmap before deeper SINAG integration</x:v>
      </x:c>
      <x:c r="R68" s="26" t="str">
        <x:v>Confirm architecture, owner/maintainer, source escrow or release policy, license, API specification, authentication, data model, export/import, security testing, privacy impact, uptime/SLA, backups and exit plan.</x:v>
      </x:c>
      <x:c r="S68" s="32" t="str">
        <x:v>https://radss-philahis.bai.gov.ph/</x:v>
      </x:c>
      <x:c r="T68" s="32" t="str">
        <x:v>https://nvqsd.bai.gov.ph/EServices</x:v>
      </x:c>
      <x:c r="U68" s="26" t="str">
        <x:v>2026-07-13</x:v>
      </x:c>
    </x:row>
    <x:row r="69" ht="58" customHeight="1">
      <x:c r="A69" s="26" t="str">
        <x:v>D2-065</x:v>
      </x:c>
      <x:c r="B69" s="26" t="str">
        <x:v>Bureau of Animal Industry E-Services Portal</x:v>
      </x:c>
      <x:c r="C69" s="26" t="str">
        <x:v>DA-Bureau of Animal Industry</x:v>
      </x:c>
      <x:c r="D69" s="26" t="str">
        <x:v>Web portal and workflow management</x:v>
      </x:c>
      <x:c r="E69" s="26" t="str">
        <x:v>Public web/service interface; source code not publicly located</x:v>
      </x:c>
      <x:c r="F69" s="26" t="str">
        <x:v>No official public repository located</x:v>
      </x:c>
      <x:c r="G69" s="26" t="str">
        <x:v>https://www.bai.gov.ph/Home/E_Service</x:v>
      </x:c>
      <x:c r="H69" s="26" t="str">
        <x:v>Not publicly specified</x:v>
      </x:c>
      <x:c r="I69" s="26" t="str">
        <x:v>No public API documentation located</x:v>
      </x:c>
      <x:c r="J69" s="26" t="str">
        <x:v>No machine-readable export specification located</x:v>
      </x:c>
      <x:c r="K69" s="26" t="str">
        <x:v>Identity, business, animal and compliance records need strong controls</x:v>
      </x:c>
      <x:c r="L69" s="26" t="str">
        <x:v>Not documented</x:v>
      </x:c>
      <x:c r="M69" s="26" t="str">
        <x:v>Government registry, credential or linked program identity is central</x:v>
      </x:c>
      <x:c r="N69" s="26" t="str">
        <x:v>No public data schema or conformance standard located</x:v>
      </x:c>
      <x:c r="O69" s="30" t="n">
        <x:v>1</x:v>
      </x:c>
      <x:c r="P69" s="26" t="str">
        <x:v>High unless export, API access and data rights are established</x:v>
      </x:c>
      <x:c r="Q69" s="26" t="str">
        <x:v>Catalog + deep link/referral; require API/export roadmap before deeper SINAG integration</x:v>
      </x:c>
      <x:c r="R69" s="26" t="str">
        <x:v>Confirm architecture, owner/maintainer, source escrow or release policy, license, API specification, authentication, data model, export/import, security testing, privacy impact, uptime/SLA, backups and exit plan.</x:v>
      </x:c>
      <x:c r="S69" s="32" t="str">
        <x:v>https://www.bai.gov.ph/Home/E_Service</x:v>
      </x:c>
      <x:c r="T69" s="32" t="str">
        <x:v>https://www.bai.gov.ph/</x:v>
      </x:c>
      <x:c r="U69" s="26" t="str">
        <x:v>2026-07-13</x:v>
      </x:c>
    </x:row>
    <x:row r="70" ht="58" customHeight="1">
      <x:c r="A70" s="26" t="str">
        <x:v>D2-066</x:v>
      </x:c>
      <x:c r="B70" s="26" t="str">
        <x:v>Livestock, Poultry and Feed Price/Data Analytics</x:v>
      </x:c>
      <x:c r="C70" s="26" t="str">
        <x:v>DA-Bureau of Animal Industry</x:v>
      </x:c>
      <x:c r="D70" s="26" t="str">
        <x:v>Web reports and dashboards</x:v>
      </x:c>
      <x:c r="E70" s="26" t="str">
        <x:v>Public web/service interface; source code not publicly located</x:v>
      </x:c>
      <x:c r="F70" s="26" t="str">
        <x:v>No official public repository located</x:v>
      </x:c>
      <x:c r="G70" s="26" t="str">
        <x:v>https://www.bai.gov.ph/Report/Livestock_Poultry</x:v>
      </x:c>
      <x:c r="H70" s="26" t="str">
        <x:v>Not publicly specified</x:v>
      </x:c>
      <x:c r="I70" s="26" t="str">
        <x:v>No public API documentation located</x:v>
      </x:c>
      <x:c r="J70" s="26" t="str">
        <x:v>Public data/visualization access exists; stable API and bulk-export specification not confirmed</x:v>
      </x:c>
      <x:c r="K70" s="26" t="str">
        <x:v>Methodology and revision metadata should be explicit</x:v>
      </x:c>
      <x:c r="L70" s="26" t="str">
        <x:v>Not documented</x:v>
      </x:c>
      <x:c r="M70" s="26" t="str">
        <x:v>No explicit shared-identity integration documented</x:v>
      </x:c>
      <x:c r="N70" s="26" t="str">
        <x:v>No public data schema or conformance standard located</x:v>
      </x:c>
      <x:c r="O70" s="30" t="n">
        <x:v>1</x:v>
      </x:c>
      <x:c r="P70" s="26" t="str">
        <x:v>High unless export, API access and data rights are established</x:v>
      </x:c>
      <x:c r="Q70" s="26" t="str">
        <x:v>Catalog/referral or watchlist pending status and portability validation</x:v>
      </x:c>
      <x:c r="R70" s="26" t="str">
        <x:v>Confirm architecture, owner/maintainer, source escrow or release policy, license, API specification, authentication, data model, export/import, security testing, privacy impact, uptime/SLA, backups and exit plan.</x:v>
      </x:c>
      <x:c r="S70" s="32" t="str">
        <x:v>https://www.bai.gov.ph/Report/Livestock_Poultry</x:v>
      </x:c>
      <x:c r="T70" s="32" t="str"/>
      <x:c r="U70" s="26" t="str">
        <x:v>2026-07-13</x:v>
      </x:c>
    </x:row>
    <x:row r="71" ht="58" customHeight="1">
      <x:c r="A71" s="26" t="str">
        <x:v>D2-067</x:v>
      </x:c>
      <x:c r="B71" s="26" t="str">
        <x:v>HIDIS and Transport Carrier Registration Online System</x:v>
      </x:c>
      <x:c r="C71" s="26" t="str">
        <x:v>DA-Bureau of Animal Industry</x:v>
      </x:c>
      <x:c r="D71" s="26" t="str">
        <x:v>Web application and regulatory workflow</x:v>
      </x:c>
      <x:c r="E71" s="26" t="str">
        <x:v>Public web/service interface; source code not publicly located</x:v>
      </x:c>
      <x:c r="F71" s="26" t="str">
        <x:v>No official public repository located</x:v>
      </x:c>
      <x:c r="G71" s="26" t="str">
        <x:v>https://www.bai.gov.ph/Home/Readmore/CfDJ8DHMkXfHAkNGvEBqCJONkzN5Ba1p65d61hAGgZMp-8JDHFZP8MEHTKnwaNeHzZY0-Ha38ZWXeAPuxu-bRtyvzhR6_pOK4n3ARxCd3eFaENnG_dngD5qahPQzgoaw-c-X2g</x:v>
      </x:c>
      <x:c r="H71" s="26" t="str">
        <x:v>Not publicly specified</x:v>
      </x:c>
      <x:c r="I71" s="26" t="str">
        <x:v>No public API documentation located</x:v>
      </x:c>
      <x:c r="J71" s="26" t="str">
        <x:v>No machine-readable export specification located</x:v>
      </x:c>
      <x:c r="K71" s="26" t="str">
        <x:v>Personal, business, vehicle, route and compliance data are sensitive</x:v>
      </x:c>
      <x:c r="L71" s="26" t="str">
        <x:v>Not documented</x:v>
      </x:c>
      <x:c r="M71" s="26" t="str">
        <x:v>Government registry, credential or linked program identity is central</x:v>
      </x:c>
      <x:c r="N71" s="26" t="str">
        <x:v>No public data schema or conformance standard located</x:v>
      </x:c>
      <x:c r="O71" s="30" t="n">
        <x:v>1</x:v>
      </x:c>
      <x:c r="P71" s="26" t="str">
        <x:v>High unless export, API access and data rights are established</x:v>
      </x:c>
      <x:c r="Q71" s="26" t="str">
        <x:v>Catalog + deep link/referral; require API/export roadmap before deeper SINAG integration</x:v>
      </x:c>
      <x:c r="R71" s="26" t="str">
        <x:v>Confirm architecture, owner/maintainer, source escrow or release policy, license, API specification, authentication, data model, export/import, security testing, privacy impact, uptime/SLA, backups and exit plan.</x:v>
      </x:c>
      <x:c r="S71" s="32" t="str">
        <x:v>https://www.bai.gov.ph/Home/Readmore/CfDJ8DHMkXfHAkNGvEBqCJONkzN5Ba1p65d61hAGgZMp-8JDHFZP8MEHTKnwaNeHzZY0-Ha38ZWXeAPuxu-bRtyvzhR6_pOK4n3ARxCd3eFaENnG_dngD5qahPQzgoaw-c-X2g</x:v>
      </x:c>
      <x:c r="T71" s="32" t="str">
        <x:v>https://www.bai.gov.ph/</x:v>
      </x:c>
      <x:c r="U71" s="26" t="str">
        <x:v>2026-07-13</x:v>
      </x:c>
    </x:row>
    <x:row r="72" ht="58" customHeight="1">
      <x:c r="A72" s="26" t="str">
        <x:v>D2-068</x:v>
      </x:c>
      <x:c r="B72" s="26" t="str">
        <x:v>PCIC Computer-Assisted Personal Interview / Digital Field Enrollment</x:v>
      </x:c>
      <x:c r="C72" s="26" t="str">
        <x:v>Philippine Crop Insurance Corporation</x:v>
      </x:c>
      <x:c r="D72" s="26" t="str">
        <x:v>Mobile field collection and insurance MIS</x:v>
      </x:c>
      <x:c r="E72" s="26" t="str">
        <x:v>Public web/service interface; source code not publicly located</x:v>
      </x:c>
      <x:c r="F72" s="26" t="str">
        <x:v>No official public repository located</x:v>
      </x:c>
      <x:c r="G72" s="26" t="str">
        <x:v>https://pidswebs.pids.gov.ph/CDN/document/pidsdps2329.pdf</x:v>
      </x:c>
      <x:c r="H72" s="26" t="str">
        <x:v>Not publicly specified</x:v>
      </x:c>
      <x:c r="I72" s="26" t="str">
        <x:v>No public API documentation located</x:v>
      </x:c>
      <x:c r="J72" s="26" t="str">
        <x:v>No machine-readable export specification located</x:v>
      </x:c>
      <x:c r="K72" s="26" t="str">
        <x:v>Highly sensitive identity, farm, financial and loss data require consent</x:v>
      </x:c>
      <x:c r="L72" s="26" t="str">
        <x:v>Field-mobile use documented; offline synchronization not confirmed</x:v>
      </x:c>
      <x:c r="M72" s="26" t="str">
        <x:v>No explicit shared-identity integration documented</x:v>
      </x:c>
      <x:c r="N72" s="26" t="str">
        <x:v>No public data schema or conformance standard located</x:v>
      </x:c>
      <x:c r="O72" s="30" t="n">
        <x:v>1</x:v>
      </x:c>
      <x:c r="P72" s="26" t="str">
        <x:v>High unless export, API access and data rights are established</x:v>
      </x:c>
      <x:c r="Q72" s="26" t="str">
        <x:v>Catalog + deep link/referral; require API/export roadmap before deeper SINAG integration</x:v>
      </x:c>
      <x:c r="R72" s="26" t="str">
        <x:v>Confirm architecture, owner/maintainer, source escrow or release policy, license, API specification, authentication, data model, export/import, security testing, privacy impact, uptime/SLA, backups and exit plan.</x:v>
      </x:c>
      <x:c r="S72" s="32" t="str">
        <x:v>https://pidswebs.pids.gov.ph/CDN/document/pidsdps2329.pdf</x:v>
      </x:c>
      <x:c r="T72" s="32" t="str">
        <x:v>https://pcic.gov.ph/</x:v>
      </x:c>
      <x:c r="U72" s="26" t="str">
        <x:v>2026-07-13</x:v>
      </x:c>
    </x:row>
    <x:row r="73" ht="58" customHeight="1">
      <x:c r="A73" s="26" t="str">
        <x:v>D2-069</x:v>
      </x:c>
      <x:c r="B73" s="26" t="str">
        <x:v>Cropital</x:v>
      </x:c>
      <x:c r="C73" s="26" t="str">
        <x:v>Cropital</x:v>
      </x:c>
      <x:c r="D73" s="26" t="str">
        <x:v>Web financing platform and field operations</x:v>
      </x:c>
      <x:c r="E73" s="26" t="str">
        <x:v>Proprietary or not publicly released; no official repository located</x:v>
      </x:c>
      <x:c r="F73" s="26" t="str">
        <x:v>No official public repository located</x:v>
      </x:c>
      <x:c r="G73" s="26" t="str">
        <x:v>https://www.cropital.com/</x:v>
      </x:c>
      <x:c r="H73" s="26" t="str">
        <x:v>Not publicly specified</x:v>
      </x:c>
      <x:c r="I73" s="26" t="str">
        <x:v>No public API documentation located</x:v>
      </x:c>
      <x:c r="J73" s="26" t="str">
        <x:v>No machine-readable export specification located</x:v>
      </x:c>
      <x:c r="K73" s="26" t="str">
        <x:v>Financial and farm data require strong consent, security and regulatory compliance</x:v>
      </x:c>
      <x:c r="L73" s="26" t="str">
        <x:v>Not documented</x:v>
      </x:c>
      <x:c r="M73" s="26" t="str">
        <x:v>No explicit shared-identity integration documented</x:v>
      </x:c>
      <x:c r="N73" s="26" t="str">
        <x:v>No public data schema or conformance standard located</x:v>
      </x:c>
      <x:c r="O73" s="30" t="n">
        <x:v>1</x:v>
      </x:c>
      <x:c r="P73" s="26" t="str">
        <x:v>High unless export, API access and data rights are established</x:v>
      </x:c>
      <x:c r="Q73" s="26" t="str">
        <x:v>Catalog/referral or watchlist pending status and portability validation</x:v>
      </x:c>
      <x:c r="R73" s="26" t="str">
        <x:v>Confirm architecture, owner/maintainer, source escrow or release policy, license, API specification, authentication, data model, export/import, security testing, privacy impact, uptime/SLA, backups and exit plan.</x:v>
      </x:c>
      <x:c r="S73" s="32" t="str">
        <x:v>https://www.cropital.com/</x:v>
      </x:c>
      <x:c r="T73" s="32" t="str">
        <x:v>https://sti-portal.fao.org/innovations/cropital</x:v>
      </x:c>
      <x:c r="U73" s="26" t="str">
        <x:v>2026-07-13</x:v>
      </x:c>
    </x:row>
    <x:row r="74" ht="58" customHeight="1">
      <x:c r="A74" s="26" t="str">
        <x:v>D2-070</x:v>
      </x:c>
      <x:c r="B74" s="26" t="str">
        <x:v>FarmOn</x:v>
      </x:c>
      <x:c r="C74" s="26" t="str">
        <x:v>FarmOn</x:v>
      </x:c>
      <x:c r="D74" s="26" t="str">
        <x:v>Web platform</x:v>
      </x:c>
      <x:c r="E74" s="26" t="str">
        <x:v>Proprietary or not publicly released; no official repository located</x:v>
      </x:c>
      <x:c r="F74" s="26" t="str">
        <x:v>No official public repository located</x:v>
      </x:c>
      <x:c r="G74" s="26" t="str">
        <x:v>https://www.farmon.ph/</x:v>
      </x:c>
      <x:c r="H74" s="26" t="str">
        <x:v>Not publicly specified</x:v>
      </x:c>
      <x:c r="I74" s="26" t="str">
        <x:v>No public API documentation located</x:v>
      </x:c>
      <x:c r="J74" s="26" t="str">
        <x:v>No machine-readable export specification located</x:v>
      </x:c>
      <x:c r="K74" s="26" t="str">
        <x:v>Financial and farm-project data are sensitive; interfaces are not public</x:v>
      </x:c>
      <x:c r="L74" s="26" t="str">
        <x:v>Not documented</x:v>
      </x:c>
      <x:c r="M74" s="26" t="str">
        <x:v>No explicit shared-identity integration documented</x:v>
      </x:c>
      <x:c r="N74" s="26" t="str">
        <x:v>No public data schema or conformance standard located</x:v>
      </x:c>
      <x:c r="O74" s="30" t="n">
        <x:v>1</x:v>
      </x:c>
      <x:c r="P74" s="26" t="str">
        <x:v>High unless export, API access and data rights are established</x:v>
      </x:c>
      <x:c r="Q74" s="26" t="str">
        <x:v>Catalog/referral or watchlist pending status and portability validation</x:v>
      </x:c>
      <x:c r="R74" s="26" t="str">
        <x:v>Confirm architecture, owner/maintainer, source escrow or release policy, license, API specification, authentication, data model, export/import, security testing, privacy impact, uptime/SLA, backups and exit plan.</x:v>
      </x:c>
      <x:c r="S74" s="32" t="str">
        <x:v>https://www.farmon.ph/</x:v>
      </x:c>
      <x:c r="T74" s="32" t="str">
        <x:v>https://pidswebs.pids.gov.ph/CDN/document/pidsdps2329.pdf</x:v>
      </x:c>
      <x:c r="U74" s="26" t="str">
        <x:v>2026-07-13</x:v>
      </x:c>
    </x:row>
    <x:row r="75" ht="58" customHeight="1">
      <x:c r="A75" s="26" t="str">
        <x:v>D2-071</x:v>
      </x:c>
      <x:c r="B75" s="26" t="str">
        <x:v>Mayani</x:v>
      </x:c>
      <x:c r="C75" s="26" t="str">
        <x:v>Mayani</x:v>
      </x:c>
      <x:c r="D75" s="26" t="str">
        <x:v>Web, e-commerce and B2B supply chain</x:v>
      </x:c>
      <x:c r="E75" s="26" t="str">
        <x:v>Proprietary or not publicly released; no official repository located</x:v>
      </x:c>
      <x:c r="F75" s="26" t="str">
        <x:v>No official public repository located</x:v>
      </x:c>
      <x:c r="G75" s="26" t="str">
        <x:v>https://mayani.ph/</x:v>
      </x:c>
      <x:c r="H75" s="26" t="str">
        <x:v>Not publicly specified</x:v>
      </x:c>
      <x:c r="I75" s="26" t="str">
        <x:v>No public API documentation located</x:v>
      </x:c>
      <x:c r="J75" s="26" t="str">
        <x:v>No machine-readable export specification located</x:v>
      </x:c>
      <x:c r="K75" s="26" t="str">
        <x:v>Farmer, buyer, transaction and credit data require clear rights</x:v>
      </x:c>
      <x:c r="L75" s="26" t="str">
        <x:v>Not documented</x:v>
      </x:c>
      <x:c r="M75" s="26" t="str">
        <x:v>No explicit shared-identity integration documented</x:v>
      </x:c>
      <x:c r="N75" s="26" t="str">
        <x:v>No public data schema or conformance standard located</x:v>
      </x:c>
      <x:c r="O75" s="30" t="n">
        <x:v>1</x:v>
      </x:c>
      <x:c r="P75" s="26" t="str">
        <x:v>High unless export, API access and data rights are established</x:v>
      </x:c>
      <x:c r="Q75" s="26" t="str">
        <x:v>Catalog + deep link/referral; require API/export roadmap before deeper SINAG integration</x:v>
      </x:c>
      <x:c r="R75" s="26" t="str">
        <x:v>Confirm architecture, owner/maintainer, source escrow or release policy, license, API specification, authentication, data model, export/import, security testing, privacy impact, uptime/SLA, backups and exit plan.</x:v>
      </x:c>
      <x:c r="S75" s="32" t="str">
        <x:v>https://mayani.ph/</x:v>
      </x:c>
      <x:c r="T75" s="32" t="str">
        <x:v>https://sti-portal.fao.org/innovations/mayani-philippines</x:v>
      </x:c>
      <x:c r="U75" s="26" t="str">
        <x:v>2026-07-13</x:v>
      </x:c>
    </x:row>
    <x:row r="76" ht="58" customHeight="1">
      <x:c r="A76" s="26" t="str">
        <x:v>D2-072</x:v>
      </x:c>
      <x:c r="B76" s="26" t="str">
        <x:v>KITA Agritech</x:v>
      </x:c>
      <x:c r="C76" s="26" t="str">
        <x:v>Kita Agribusiness Corporation</x:v>
      </x:c>
      <x:c r="D76" s="26" t="str">
        <x:v>B2B commerce, logistics and supply-chain operations</x:v>
      </x:c>
      <x:c r="E76" s="26" t="str">
        <x:v>Proprietary or not publicly released; no official repository located</x:v>
      </x:c>
      <x:c r="F76" s="26" t="str">
        <x:v>No official public repository located</x:v>
      </x:c>
      <x:c r="G76" s="26" t="str">
        <x:v>https://kita.ai/</x:v>
      </x:c>
      <x:c r="H76" s="26" t="str">
        <x:v>Not publicly specified</x:v>
      </x:c>
      <x:c r="I76" s="26" t="str">
        <x:v>No public API documentation located</x:v>
      </x:c>
      <x:c r="J76" s="26" t="str">
        <x:v>No machine-readable export specification located</x:v>
      </x:c>
      <x:c r="K76" s="26" t="str">
        <x:v>Supplier, price and commercial data need clear ownership and portability</x:v>
      </x:c>
      <x:c r="L76" s="26" t="str">
        <x:v>Not documented</x:v>
      </x:c>
      <x:c r="M76" s="26" t="str">
        <x:v>No explicit shared-identity integration documented</x:v>
      </x:c>
      <x:c r="N76" s="26" t="str">
        <x:v>No public data schema or conformance standard located</x:v>
      </x:c>
      <x:c r="O76" s="30" t="n">
        <x:v>1</x:v>
      </x:c>
      <x:c r="P76" s="26" t="str">
        <x:v>High unless export, API access and data rights are established</x:v>
      </x:c>
      <x:c r="Q76" s="26" t="str">
        <x:v>Catalog + deep link/referral; require API/export roadmap before deeper SINAG integration</x:v>
      </x:c>
      <x:c r="R76" s="26" t="str">
        <x:v>Confirm architecture, owner/maintainer, source escrow or release policy, license, API specification, authentication, data model, export/import, security testing, privacy impact, uptime/SLA, backups and exit plan.</x:v>
      </x:c>
      <x:c r="S76" s="32" t="str">
        <x:v>https://kita.ai/</x:v>
      </x:c>
      <x:c r="T76" s="32" t="str">
        <x:v>https://www.landbank.com/index.php/news/expanding-financial-access-for-small-farmers-landbank-partners-with-kita-agritech-tao-foods-to-boost-agri-modernization</x:v>
      </x:c>
      <x:c r="U76" s="26" t="str">
        <x:v>2026-07-13</x:v>
      </x:c>
    </x:row>
    <x:row r="77" ht="58" customHeight="1">
      <x:c r="A77" s="26" t="str">
        <x:v>D2-073</x:v>
      </x:c>
      <x:c r="B77" s="26" t="str">
        <x:v>GOEdenPH</x:v>
      </x:c>
      <x:c r="C77" s="26" t="str">
        <x:v>GOEden</x:v>
      </x:c>
      <x:c r="D77" s="26" t="str">
        <x:v>Web e-commerce, social commerce and physical store</x:v>
      </x:c>
      <x:c r="E77" s="26" t="str">
        <x:v>Proprietary or not publicly released; no official repository located</x:v>
      </x:c>
      <x:c r="F77" s="26" t="str">
        <x:v>No official public repository located</x:v>
      </x:c>
      <x:c r="G77" s="26" t="str">
        <x:v>https://goedenph.com/</x:v>
      </x:c>
      <x:c r="H77" s="26" t="str">
        <x:v>Not publicly specified</x:v>
      </x:c>
      <x:c r="I77" s="26" t="str">
        <x:v>No public API documentation located</x:v>
      </x:c>
      <x:c r="J77" s="26" t="str">
        <x:v>No machine-readable export specification located</x:v>
      </x:c>
      <x:c r="K77" s="26" t="str">
        <x:v>Customer and purchase data require standard commerce safeguards</x:v>
      </x:c>
      <x:c r="L77" s="26" t="str">
        <x:v>Not documented</x:v>
      </x:c>
      <x:c r="M77" s="26" t="str">
        <x:v>No explicit shared-identity integration documented</x:v>
      </x:c>
      <x:c r="N77" s="26" t="str">
        <x:v>No public data schema or conformance standard located</x:v>
      </x:c>
      <x:c r="O77" s="30" t="n">
        <x:v>1</x:v>
      </x:c>
      <x:c r="P77" s="26" t="str">
        <x:v>High unless export, API access and data rights are established</x:v>
      </x:c>
      <x:c r="Q77" s="26" t="str">
        <x:v>Catalog + deep link/referral; require API/export roadmap before deeper SINAG integration</x:v>
      </x:c>
      <x:c r="R77" s="26" t="str">
        <x:v>Confirm architecture, owner/maintainer, source escrow or release policy, license, API specification, authentication, data model, export/import, security testing, privacy impact, uptime/SLA, backups and exit plan.</x:v>
      </x:c>
      <x:c r="S77" s="32" t="str">
        <x:v>https://goedenph.com/</x:v>
      </x:c>
      <x:c r="T77" s="32" t="str">
        <x:v>https://www.irri.org/news-and-events/news/philippines-stakeholders-are-charting-future-digital-agriculture</x:v>
      </x:c>
      <x:c r="U77" s="26" t="str">
        <x:v>2026-07-13</x:v>
      </x:c>
    </x:row>
    <x:row r="78" ht="58" customHeight="1">
      <x:c r="A78" s="26" t="str">
        <x:v>D2-074</x:v>
      </x:c>
      <x:c r="B78" s="26" t="str">
        <x:v>Agrabah Marketplace</x:v>
      </x:c>
      <x:c r="C78" s="26" t="str">
        <x:v>Agrabah Ventures and partners</x:v>
      </x:c>
      <x:c r="D78" s="26" t="str">
        <x:v>Web/mobile marketplace</x:v>
      </x:c>
      <x:c r="E78" s="26" t="str">
        <x:v>Proprietary or not publicly released; no official repository located</x:v>
      </x:c>
      <x:c r="F78" s="26" t="str">
        <x:v>No official public repository located</x:v>
      </x:c>
      <x:c r="G78" s="26" t="str">
        <x:v>https://agrabah.ph/</x:v>
      </x:c>
      <x:c r="H78" s="26" t="str">
        <x:v>Not publicly specified</x:v>
      </x:c>
      <x:c r="I78" s="26" t="str">
        <x:v>No public API documentation located</x:v>
      </x:c>
      <x:c r="J78" s="26" t="str">
        <x:v>No machine-readable export specification located</x:v>
      </x:c>
      <x:c r="K78" s="26" t="str">
        <x:v>Transaction and producer-data governance are not public</x:v>
      </x:c>
      <x:c r="L78" s="26" t="str">
        <x:v>Not documented</x:v>
      </x:c>
      <x:c r="M78" s="26" t="str">
        <x:v>No explicit shared-identity integration documented</x:v>
      </x:c>
      <x:c r="N78" s="26" t="str">
        <x:v>No public data schema or conformance standard located</x:v>
      </x:c>
      <x:c r="O78" s="30" t="n">
        <x:v>1</x:v>
      </x:c>
      <x:c r="P78" s="26" t="str">
        <x:v>High unless export, API access and data rights are established</x:v>
      </x:c>
      <x:c r="Q78" s="26" t="str">
        <x:v>Catalog/referral or watchlist pending status and portability validation</x:v>
      </x:c>
      <x:c r="R78" s="26" t="str">
        <x:v>Confirm architecture, owner/maintainer, source escrow or release policy, license, API specification, authentication, data model, export/import, security testing, privacy impact, uptime/SLA, backups and exit plan.</x:v>
      </x:c>
      <x:c r="S78" s="32" t="str">
        <x:v>https://agrabah.ph/</x:v>
      </x:c>
      <x:c r="T78" s="32" t="str">
        <x:v>https://pidswebs.pids.gov.ph/CDN/document/pidsdps2329.pdf</x:v>
      </x:c>
      <x:c r="U78" s="26" t="str">
        <x:v>2026-07-13</x:v>
      </x:c>
    </x:row>
    <x:row r="79" ht="58" customHeight="1">
      <x:c r="A79" s="26" t="str">
        <x:v>D2-075</x:v>
      </x:c>
      <x:c r="B79" s="26" t="str">
        <x:v>Agro-DigitalPH</x:v>
      </x:c>
      <x:c r="C79" s="26" t="str">
        <x:v>Agro-DigitalPH</x:v>
      </x:c>
      <x:c r="D79" s="26" t="str">
        <x:v>Web and digital operations</x:v>
      </x:c>
      <x:c r="E79" s="26" t="str">
        <x:v>Proprietary or not publicly released; no official repository located</x:v>
      </x:c>
      <x:c r="F79" s="26" t="str">
        <x:v>No official public repository located</x:v>
      </x:c>
      <x:c r="G79" s="26" t="str">
        <x:v>https://bworldonline.com/opinion/2025/04/30/669172/digital-transformation-in-philippine-agribusiness-lessons-from-agro-digitalph-kita-agritech-and-benguet-agri-pinoy/</x:v>
      </x:c>
      <x:c r="H79" s="26" t="str">
        <x:v>Not publicly specified</x:v>
      </x:c>
      <x:c r="I79" s="26" t="str">
        <x:v>No public API documentation located</x:v>
      </x:c>
      <x:c r="J79" s="26" t="str">
        <x:v>No machine-readable export specification located</x:v>
      </x:c>
      <x:c r="K79" s="26" t="str">
        <x:v>Commercial and farmer-data rights are not publicly documented</x:v>
      </x:c>
      <x:c r="L79" s="26" t="str">
        <x:v>Not documented</x:v>
      </x:c>
      <x:c r="M79" s="26" t="str">
        <x:v>No explicit shared-identity integration documented</x:v>
      </x:c>
      <x:c r="N79" s="26" t="str">
        <x:v>No public data schema or conformance standard located</x:v>
      </x:c>
      <x:c r="O79" s="30" t="n">
        <x:v>1</x:v>
      </x:c>
      <x:c r="P79" s="26" t="str">
        <x:v>High unless export, API access and data rights are established</x:v>
      </x:c>
      <x:c r="Q79" s="26" t="str">
        <x:v>Catalog/referral or watchlist pending status and portability validation</x:v>
      </x:c>
      <x:c r="R79" s="26" t="str">
        <x:v>Confirm architecture, owner/maintainer, source escrow or release policy, license, API specification, authentication, data model, export/import, security testing, privacy impact, uptime/SLA, backups and exit plan.</x:v>
      </x:c>
      <x:c r="S79" s="32" t="str">
        <x:v>https://bworldonline.com/opinion/2025/04/30/669172/digital-transformation-in-philippine-agribusiness-lessons-from-agro-digitalph-kita-agritech-and-benguet-agri-pinoy/</x:v>
      </x:c>
      <x:c r="T79" s="32" t="str">
        <x:v>https://pidswebs.pids.gov.ph/CDN/document/pidsdps2329.pdf</x:v>
      </x:c>
      <x:c r="U79" s="26" t="str">
        <x:v>2026-07-13</x:v>
      </x:c>
    </x:row>
    <x:row r="80" ht="58" customHeight="1">
      <x:c r="A80" s="26" t="str">
        <x:v>D2-076</x:v>
      </x:c>
      <x:c r="B80" s="26" t="str">
        <x:v>ANI Express</x:v>
      </x:c>
      <x:c r="C80" s="26" t="str">
        <x:v>Private enterprise platform reported in PIDS</x:v>
      </x:c>
      <x:c r="D80" s="26" t="str">
        <x:v>Web/mobile e-commerce</x:v>
      </x:c>
      <x:c r="E80" s="26" t="str">
        <x:v>Proprietary or not publicly released; no official repository located</x:v>
      </x:c>
      <x:c r="F80" s="26" t="str">
        <x:v>No official public repository located</x:v>
      </x:c>
      <x:c r="G80" s="26" t="str">
        <x:v>https://pidswebs.pids.gov.ph/CDN/document/pidsdps2329.pdf</x:v>
      </x:c>
      <x:c r="H80" s="26" t="str">
        <x:v>Not publicly specified</x:v>
      </x:c>
      <x:c r="I80" s="26" t="str">
        <x:v>No public API documentation located</x:v>
      </x:c>
      <x:c r="J80" s="26" t="str">
        <x:v>No machine-readable export specification located</x:v>
      </x:c>
      <x:c r="K80" s="26" t="str">
        <x:v>Transaction and customer-data practices require verification</x:v>
      </x:c>
      <x:c r="L80" s="26" t="str">
        <x:v>Not documented</x:v>
      </x:c>
      <x:c r="M80" s="26" t="str">
        <x:v>No explicit shared-identity integration documented</x:v>
      </x:c>
      <x:c r="N80" s="26" t="str">
        <x:v>No public data schema or conformance standard located</x:v>
      </x:c>
      <x:c r="O80" s="30" t="n">
        <x:v>1</x:v>
      </x:c>
      <x:c r="P80" s="26" t="str">
        <x:v>High unless export, API access and data rights are established</x:v>
      </x:c>
      <x:c r="Q80" s="26" t="str">
        <x:v>Catalog/referral or watchlist pending status and portability validation</x:v>
      </x:c>
      <x:c r="R80" s="26" t="str">
        <x:v>Confirm architecture, owner/maintainer, source escrow or release policy, license, API specification, authentication, data model, export/import, security testing, privacy impact, uptime/SLA, backups and exit plan.</x:v>
      </x:c>
      <x:c r="S80" s="32" t="str">
        <x:v>https://pidswebs.pids.gov.ph/CDN/document/pidsdps2329.pdf</x:v>
      </x:c>
      <x:c r="T80" s="32" t="str"/>
      <x:c r="U80" s="26" t="str">
        <x:v>2026-07-13</x:v>
      </x:c>
    </x:row>
    <x:row r="81" ht="58" customHeight="1">
      <x:c r="A81" s="26" t="str">
        <x:v>D2-077</x:v>
      </x:c>
      <x:c r="B81" s="26" t="str">
        <x:v>Co-opBiz</x:v>
      </x:c>
      <x:c r="C81" s="26" t="str">
        <x:v>Cooperative Development Authority / cooperative partners</x:v>
      </x:c>
      <x:c r="D81" s="26" t="str">
        <x:v>Web platform</x:v>
      </x:c>
      <x:c r="E81" s="26" t="str">
        <x:v>Public web/service interface; source code not publicly located</x:v>
      </x:c>
      <x:c r="F81" s="26" t="str">
        <x:v>No official public repository located</x:v>
      </x:c>
      <x:c r="G81" s="26" t="str">
        <x:v>https://pidswebs.pids.gov.ph/CDN/document/pidsdps2329.pdf</x:v>
      </x:c>
      <x:c r="H81" s="26" t="str">
        <x:v>Not publicly specified</x:v>
      </x:c>
      <x:c r="I81" s="26" t="str">
        <x:v>No public API documentation located</x:v>
      </x:c>
      <x:c r="J81" s="26" t="str">
        <x:v>No machine-readable export specification located</x:v>
      </x:c>
      <x:c r="K81" s="26" t="str">
        <x:v>Potential linkage to cooperative registries; APIs are not public</x:v>
      </x:c>
      <x:c r="L81" s="26" t="str">
        <x:v>Not documented</x:v>
      </x:c>
      <x:c r="M81" s="26" t="str">
        <x:v>No explicit shared-identity integration documented</x:v>
      </x:c>
      <x:c r="N81" s="26" t="str">
        <x:v>No public data schema or conformance standard located</x:v>
      </x:c>
      <x:c r="O81" s="30" t="n">
        <x:v>1</x:v>
      </x:c>
      <x:c r="P81" s="26" t="str">
        <x:v>High unless export, API access and data rights are established</x:v>
      </x:c>
      <x:c r="Q81" s="26" t="str">
        <x:v>Catalog/referral or watchlist pending status and portability validation</x:v>
      </x:c>
      <x:c r="R81" s="26" t="str">
        <x:v>Confirm architecture, owner/maintainer, source escrow or release policy, license, API specification, authentication, data model, export/import, security testing, privacy impact, uptime/SLA, backups and exit plan.</x:v>
      </x:c>
      <x:c r="S81" s="32" t="str">
        <x:v>https://pidswebs.pids.gov.ph/CDN/document/pidsdps2329.pdf</x:v>
      </x:c>
      <x:c r="T81" s="32" t="str">
        <x:v>https://cda.gov.ph/</x:v>
      </x:c>
      <x:c r="U81" s="26" t="str">
        <x:v>2026-07-13</x:v>
      </x:c>
    </x:row>
    <x:row r="82" ht="58" customHeight="1">
      <x:c r="A82" s="26" t="str">
        <x:v>D2-078</x:v>
      </x:c>
      <x:c r="B82" s="26" t="str">
        <x:v>OneSTore.ph</x:v>
      </x:c>
      <x:c r="C82" s="26" t="str">
        <x:v>Department of Science and Technology</x:v>
      </x:c>
      <x:c r="D82" s="26" t="str">
        <x:v>Web e-commerce platform</x:v>
      </x:c>
      <x:c r="E82" s="26" t="str">
        <x:v>Public web/service interface; source code not publicly located</x:v>
      </x:c>
      <x:c r="F82" s="26" t="str">
        <x:v>No official public repository located</x:v>
      </x:c>
      <x:c r="G82" s="26" t="str">
        <x:v>https://onestore.ph/</x:v>
      </x:c>
      <x:c r="H82" s="26" t="str">
        <x:v>Not publicly specified</x:v>
      </x:c>
      <x:c r="I82" s="26" t="str">
        <x:v>No public API documentation located</x:v>
      </x:c>
      <x:c r="J82" s="26" t="str">
        <x:v>No machine-readable export specification located</x:v>
      </x:c>
      <x:c r="K82" s="26" t="str">
        <x:v>Enterprise and transaction data require standard commerce safeguards</x:v>
      </x:c>
      <x:c r="L82" s="26" t="str">
        <x:v>Not documented</x:v>
      </x:c>
      <x:c r="M82" s="26" t="str">
        <x:v>No explicit shared-identity integration documented</x:v>
      </x:c>
      <x:c r="N82" s="26" t="str">
        <x:v>No public data schema or conformance standard located</x:v>
      </x:c>
      <x:c r="O82" s="30" t="n">
        <x:v>1</x:v>
      </x:c>
      <x:c r="P82" s="26" t="str">
        <x:v>High unless export, API access and data rights are established</x:v>
      </x:c>
      <x:c r="Q82" s="26" t="str">
        <x:v>Catalog/referral or watchlist pending status and portability validation</x:v>
      </x:c>
      <x:c r="R82" s="26" t="str">
        <x:v>Confirm architecture, owner/maintainer, source escrow or release policy, license, API specification, authentication, data model, export/import, security testing, privacy impact, uptime/SLA, backups and exit plan.</x:v>
      </x:c>
      <x:c r="S82" s="32" t="str">
        <x:v>https://onestore.ph/</x:v>
      </x:c>
      <x:c r="T82" s="32" t="str">
        <x:v>https://pidswebs.pids.gov.ph/CDN/document/pidsdps2329.pdf</x:v>
      </x:c>
      <x:c r="U82" s="26" t="str">
        <x:v>2026-07-13</x:v>
      </x:c>
    </x:row>
    <x:row r="83" ht="58" customHeight="1">
      <x:c r="A83" s="26" t="str">
        <x:v>D2-079</x:v>
      </x:c>
      <x:c r="B83" s="26" t="str">
        <x:v>Pili Marketplace</x:v>
      </x:c>
      <x:c r="C83" s="26" t="str">
        <x:v>Private / local platform reported in PIDS</x:v>
      </x:c>
      <x:c r="D83" s="26" t="str">
        <x:v>Web/social commerce</x:v>
      </x:c>
      <x:c r="E83" s="26" t="str">
        <x:v>Proprietary or not publicly released; no official repository located</x:v>
      </x:c>
      <x:c r="F83" s="26" t="str">
        <x:v>No official public repository located</x:v>
      </x:c>
      <x:c r="G83" s="26" t="str">
        <x:v>https://pidswebs.pids.gov.ph/CDN/document/pidsdps2329.pdf</x:v>
      </x:c>
      <x:c r="H83" s="26" t="str">
        <x:v>Not publicly specified</x:v>
      </x:c>
      <x:c r="I83" s="26" t="str">
        <x:v>No public API documentation located</x:v>
      </x:c>
      <x:c r="J83" s="26" t="str">
        <x:v>No machine-readable export specification located</x:v>
      </x:c>
      <x:c r="K83" s="26" t="str">
        <x:v>No public interface or governance evidence located</x:v>
      </x:c>
      <x:c r="L83" s="26" t="str">
        <x:v>Not documented</x:v>
      </x:c>
      <x:c r="M83" s="26" t="str">
        <x:v>No explicit shared-identity integration documented</x:v>
      </x:c>
      <x:c r="N83" s="26" t="str">
        <x:v>No public data schema or conformance standard located</x:v>
      </x:c>
      <x:c r="O83" s="30" t="n">
        <x:v>1</x:v>
      </x:c>
      <x:c r="P83" s="26" t="str">
        <x:v>High unless export, API access and data rights are established</x:v>
      </x:c>
      <x:c r="Q83" s="26" t="str">
        <x:v>Catalog/referral or watchlist pending status and portability validation</x:v>
      </x:c>
      <x:c r="R83" s="26" t="str">
        <x:v>Confirm architecture, owner/maintainer, source escrow or release policy, license, API specification, authentication, data model, export/import, security testing, privacy impact, uptime/SLA, backups and exit plan.</x:v>
      </x:c>
      <x:c r="S83" s="32" t="str">
        <x:v>https://pidswebs.pids.gov.ph/CDN/document/pidsdps2329.pdf</x:v>
      </x:c>
      <x:c r="T83" s="32" t="str"/>
      <x:c r="U83" s="26" t="str">
        <x:v>2026-07-13</x:v>
      </x:c>
    </x:row>
    <x:row r="84" ht="58" customHeight="1">
      <x:c r="A84" s="26" t="str">
        <x:v>D2-080</x:v>
      </x:c>
      <x:c r="B84" s="26" t="str">
        <x:v>Rural Rising Philippines Digital Market Channels</x:v>
      </x:c>
      <x:c r="C84" s="26" t="str">
        <x:v>Rural Rising Philippines</x:v>
      </x:c>
      <x:c r="D84" s="26" t="str">
        <x:v>Social media, web ordering and community logistics</x:v>
      </x:c>
      <x:c r="E84" s="26" t="str">
        <x:v>Public web/service interface; source code not publicly located</x:v>
      </x:c>
      <x:c r="F84" s="26" t="str">
        <x:v>No official public repository located</x:v>
      </x:c>
      <x:c r="G84" s="26" t="str">
        <x:v>https://ruralrisingph.com/</x:v>
      </x:c>
      <x:c r="H84" s="26" t="str">
        <x:v>Not publicly specified</x:v>
      </x:c>
      <x:c r="I84" s="26" t="str">
        <x:v>No public API documentation located</x:v>
      </x:c>
      <x:c r="J84" s="26" t="str">
        <x:v>No machine-readable export specification located</x:v>
      </x:c>
      <x:c r="K84" s="26" t="str">
        <x:v>Farmer, buyer and transaction data need consent and safeguarding</x:v>
      </x:c>
      <x:c r="L84" s="26" t="str">
        <x:v>Not documented</x:v>
      </x:c>
      <x:c r="M84" s="26" t="str">
        <x:v>No explicit shared-identity integration documented</x:v>
      </x:c>
      <x:c r="N84" s="26" t="str">
        <x:v>No public data schema or conformance standard located</x:v>
      </x:c>
      <x:c r="O84" s="30" t="n">
        <x:v>1</x:v>
      </x:c>
      <x:c r="P84" s="26" t="str">
        <x:v>High unless export, API access and data rights are established</x:v>
      </x:c>
      <x:c r="Q84" s="26" t="str">
        <x:v>Catalog/referral or watchlist pending status and portability validation</x:v>
      </x:c>
      <x:c r="R84" s="26" t="str">
        <x:v>Confirm architecture, owner/maintainer, source escrow or release policy, license, API specification, authentication, data model, export/import, security testing, privacy impact, uptime/SLA, backups and exit plan.</x:v>
      </x:c>
      <x:c r="S84" s="32" t="str">
        <x:v>https://ruralrisingph.com/</x:v>
      </x:c>
      <x:c r="T84" s="32" t="str">
        <x:v>https://pidswebs.pids.gov.ph/CDN/document/pidsdps2329.pdf</x:v>
      </x:c>
      <x:c r="U84" s="26" t="str">
        <x:v>2026-07-13</x:v>
      </x:c>
    </x:row>
    <x:row r="85" ht="58" customHeight="1">
      <x:c r="A85" s="26" t="str">
        <x:v>D2-081</x:v>
      </x:c>
      <x:c r="B85" s="26" t="str">
        <x:v>Session Groceries</x:v>
      </x:c>
      <x:c r="C85" s="26" t="str">
        <x:v>Session Groceries</x:v>
      </x:c>
      <x:c r="D85" s="26" t="str">
        <x:v>Mobile/web commerce and logistics</x:v>
      </x:c>
      <x:c r="E85" s="26" t="str">
        <x:v>Proprietary or not publicly released; no official repository located</x:v>
      </x:c>
      <x:c r="F85" s="26" t="str">
        <x:v>No official public repository located</x:v>
      </x:c>
      <x:c r="G85" s="26" t="str">
        <x:v>https://sessiongroceries.com/</x:v>
      </x:c>
      <x:c r="H85" s="26" t="str">
        <x:v>Not publicly specified</x:v>
      </x:c>
      <x:c r="I85" s="26" t="str">
        <x:v>No public API documentation located</x:v>
      </x:c>
      <x:c r="J85" s="26" t="str">
        <x:v>No machine-readable export specification located</x:v>
      </x:c>
      <x:c r="K85" s="26" t="str">
        <x:v>Supplier, customer and transaction-data practices require review</x:v>
      </x:c>
      <x:c r="L85" s="26" t="str">
        <x:v>Not documented</x:v>
      </x:c>
      <x:c r="M85" s="26" t="str">
        <x:v>No explicit shared-identity integration documented</x:v>
      </x:c>
      <x:c r="N85" s="26" t="str">
        <x:v>No public data schema or conformance standard located</x:v>
      </x:c>
      <x:c r="O85" s="30" t="n">
        <x:v>1</x:v>
      </x:c>
      <x:c r="P85" s="26" t="str">
        <x:v>High unless export, API access and data rights are established</x:v>
      </x:c>
      <x:c r="Q85" s="26" t="str">
        <x:v>Catalog/referral or watchlist pending status and portability validation</x:v>
      </x:c>
      <x:c r="R85" s="26" t="str">
        <x:v>Confirm architecture, owner/maintainer, source escrow or release policy, license, API specification, authentication, data model, export/import, security testing, privacy impact, uptime/SLA, backups and exit plan.</x:v>
      </x:c>
      <x:c r="S85" s="32" t="str">
        <x:v>https://sessiongroceries.com/</x:v>
      </x:c>
      <x:c r="T85" s="32" t="str">
        <x:v>https://pidswebs.pids.gov.ph/CDN/document/pidsdps2329.pdf</x:v>
      </x:c>
      <x:c r="U85" s="26" t="str">
        <x:v>2026-07-13</x:v>
      </x:c>
    </x:row>
    <x:row r="86" ht="58" customHeight="1">
      <x:c r="A86" s="26" t="str">
        <x:v>D2-082</x:v>
      </x:c>
      <x:c r="B86" s="26" t="str">
        <x:v>Zagana</x:v>
      </x:c>
      <x:c r="C86" s="26" t="str">
        <x:v>Zagana</x:v>
      </x:c>
      <x:c r="D86" s="26" t="str">
        <x:v>Web/mobile e-commerce and logistics</x:v>
      </x:c>
      <x:c r="E86" s="26" t="str">
        <x:v>Proprietary or not publicly released; no official repository located</x:v>
      </x:c>
      <x:c r="F86" s="26" t="str">
        <x:v>No official public repository located</x:v>
      </x:c>
      <x:c r="G86" s="26" t="str">
        <x:v>https://zaganafarm.com/</x:v>
      </x:c>
      <x:c r="H86" s="26" t="str">
        <x:v>Not publicly specified</x:v>
      </x:c>
      <x:c r="I86" s="26" t="str">
        <x:v>No public API documentation located</x:v>
      </x:c>
      <x:c r="J86" s="26" t="str">
        <x:v>No machine-readable export specification located</x:v>
      </x:c>
      <x:c r="K86" s="26" t="str">
        <x:v>Commercial and personal transaction data are platform-controlled</x:v>
      </x:c>
      <x:c r="L86" s="26" t="str">
        <x:v>Not documented</x:v>
      </x:c>
      <x:c r="M86" s="26" t="str">
        <x:v>No explicit shared-identity integration documented</x:v>
      </x:c>
      <x:c r="N86" s="26" t="str">
        <x:v>No public data schema or conformance standard located</x:v>
      </x:c>
      <x:c r="O86" s="30" t="n">
        <x:v>1</x:v>
      </x:c>
      <x:c r="P86" s="26" t="str">
        <x:v>High unless export, API access and data rights are established</x:v>
      </x:c>
      <x:c r="Q86" s="26" t="str">
        <x:v>Catalog/referral or watchlist pending status and portability validation</x:v>
      </x:c>
      <x:c r="R86" s="26" t="str">
        <x:v>Confirm architecture, owner/maintainer, source escrow or release policy, license, API specification, authentication, data model, export/import, security testing, privacy impact, uptime/SLA, backups and exit plan.</x:v>
      </x:c>
      <x:c r="S86" s="32" t="str">
        <x:v>https://zaganafarm.com/</x:v>
      </x:c>
      <x:c r="T86" s="32" t="str">
        <x:v>https://pidswebs.pids.gov.ph/CDN/document/pidsdps2329.pdf</x:v>
      </x:c>
      <x:c r="U86" s="26" t="str">
        <x:v>2026-07-13</x:v>
      </x:c>
    </x:row>
    <x:row r="87" ht="58" customHeight="1">
      <x:c r="A87" s="26" t="str">
        <x:v>D2-083</x:v>
      </x:c>
      <x:c r="B87" s="26" t="str">
        <x:v>Livegreen International</x:v>
      </x:c>
      <x:c r="C87" s="26" t="str">
        <x:v>Livegreen International</x:v>
      </x:c>
      <x:c r="D87" s="26" t="str">
        <x:v>Web e-commerce</x:v>
      </x:c>
      <x:c r="E87" s="26" t="str">
        <x:v>Proprietary or not publicly released; no official repository located</x:v>
      </x:c>
      <x:c r="F87" s="26" t="str">
        <x:v>No official public repository located</x:v>
      </x:c>
      <x:c r="G87" s="26" t="str">
        <x:v>https://pidswebs.pids.gov.ph/CDN/document/pidsdps2329.pdf</x:v>
      </x:c>
      <x:c r="H87" s="26" t="str">
        <x:v>Not publicly specified</x:v>
      </x:c>
      <x:c r="I87" s="26" t="str">
        <x:v>No public API documentation located</x:v>
      </x:c>
      <x:c r="J87" s="26" t="str">
        <x:v>No machine-readable export specification located</x:v>
      </x:c>
      <x:c r="K87" s="26" t="str">
        <x:v>Supplier and transaction-data policies require verification</x:v>
      </x:c>
      <x:c r="L87" s="26" t="str">
        <x:v>Not documented</x:v>
      </x:c>
      <x:c r="M87" s="26" t="str">
        <x:v>No explicit shared-identity integration documented</x:v>
      </x:c>
      <x:c r="N87" s="26" t="str">
        <x:v>No public data schema or conformance standard located</x:v>
      </x:c>
      <x:c r="O87" s="30" t="n">
        <x:v>1</x:v>
      </x:c>
      <x:c r="P87" s="26" t="str">
        <x:v>High unless export, API access and data rights are established</x:v>
      </x:c>
      <x:c r="Q87" s="26" t="str">
        <x:v>Catalog/referral or watchlist pending status and portability validation</x:v>
      </x:c>
      <x:c r="R87" s="26" t="str">
        <x:v>Confirm architecture, owner/maintainer, source escrow or release policy, license, API specification, authentication, data model, export/import, security testing, privacy impact, uptime/SLA, backups and exit plan.</x:v>
      </x:c>
      <x:c r="S87" s="32" t="str">
        <x:v>https://pidswebs.pids.gov.ph/CDN/document/pidsdps2329.pdf</x:v>
      </x:c>
      <x:c r="T87" s="32" t="str"/>
      <x:c r="U87" s="26" t="str">
        <x:v>2026-07-13</x:v>
      </x:c>
    </x:row>
    <x:row r="88" ht="58" customHeight="1">
      <x:c r="A88" s="26" t="str">
        <x:v>D2-084</x:v>
      </x:c>
      <x:c r="B88" s="26" t="str">
        <x:v>Ani Farm Marketplace</x:v>
      </x:c>
      <x:c r="C88" s="26" t="str">
        <x:v>Coding Canary / private startup</x:v>
      </x:c>
      <x:c r="D88" s="26" t="str">
        <x:v>Android mobile app</x:v>
      </x:c>
      <x:c r="E88" s="26" t="str">
        <x:v>Public app listing or binary/APK; application source not located</x:v>
      </x:c>
      <x:c r="F88" s="26" t="str">
        <x:v>No official public repository located</x:v>
      </x:c>
      <x:c r="G88" s="26" t="str">
        <x:v>https://play.google.com/store/apps/details?id=com.codingcanary.farmz</x:v>
      </x:c>
      <x:c r="H88" s="26" t="str">
        <x:v>Not publicly specified</x:v>
      </x:c>
      <x:c r="I88" s="26" t="str">
        <x:v>No public API documentation located</x:v>
      </x:c>
      <x:c r="J88" s="26" t="str">
        <x:v>No machine-readable export specification located</x:v>
      </x:c>
      <x:c r="K88" s="26" t="str">
        <x:v>Identity, location, order and payment data need safeguards</x:v>
      </x:c>
      <x:c r="L88" s="26" t="str">
        <x:v>Not documented</x:v>
      </x:c>
      <x:c r="M88" s="26" t="str">
        <x:v>No explicit shared-identity integration documented</x:v>
      </x:c>
      <x:c r="N88" s="26" t="str">
        <x:v>No public data schema or conformance standard located</x:v>
      </x:c>
      <x:c r="O88" s="30" t="n">
        <x:v>1</x:v>
      </x:c>
      <x:c r="P88" s="26" t="str">
        <x:v>High unless export, API access and data rights are established</x:v>
      </x:c>
      <x:c r="Q88" s="26" t="str">
        <x:v>Catalog/referral or watchlist pending status and portability validation</x:v>
      </x:c>
      <x:c r="R88" s="26" t="str">
        <x:v>Confirm architecture, owner/maintainer, source escrow or release policy, license, API specification, authentication, data model, export/import, security testing, privacy impact, uptime/SLA, backups and exit plan.</x:v>
      </x:c>
      <x:c r="S88" s="32" t="str">
        <x:v>https://play.google.com/store/apps/details?id=com.codingcanary.farmz</x:v>
      </x:c>
      <x:c r="T88" s="32" t="str"/>
      <x:c r="U88" s="26" t="str">
        <x:v>2026-07-13</x:v>
      </x:c>
    </x:row>
    <x:row r="89" ht="58" customHeight="1">
      <x:c r="A89" s="26" t="str">
        <x:v>D2-085</x:v>
      </x:c>
      <x:c r="B89" s="26" t="str">
        <x:v>Agriculturist PH / Tagani</x:v>
      </x:c>
      <x:c r="C89" s="26" t="str">
        <x:v>Tagani Inc. / Agriculturist PH</x:v>
      </x:c>
      <x:c r="D89" s="26" t="str">
        <x:v>Web and social-media channels</x:v>
      </x:c>
      <x:c r="E89" s="26" t="str">
        <x:v>Proprietary or not publicly released; no official repository located</x:v>
      </x:c>
      <x:c r="F89" s="26" t="str">
        <x:v>No official public repository located</x:v>
      </x:c>
      <x:c r="G89" s="26" t="str">
        <x:v>https://agriculturistph.com/</x:v>
      </x:c>
      <x:c r="H89" s="26" t="str">
        <x:v>Not publicly specified</x:v>
      </x:c>
      <x:c r="I89" s="26" t="str">
        <x:v>No public API documentation located</x:v>
      </x:c>
      <x:c r="J89" s="26" t="str">
        <x:v>No machine-readable export specification located</x:v>
      </x:c>
      <x:c r="K89" s="26" t="str">
        <x:v>Audience data are governed by channel platforms; APIs are not public</x:v>
      </x:c>
      <x:c r="L89" s="26" t="str">
        <x:v>Not documented</x:v>
      </x:c>
      <x:c r="M89" s="26" t="str">
        <x:v>No explicit shared-identity integration documented</x:v>
      </x:c>
      <x:c r="N89" s="26" t="str">
        <x:v>No public data schema or conformance standard located</x:v>
      </x:c>
      <x:c r="O89" s="30" t="n">
        <x:v>1</x:v>
      </x:c>
      <x:c r="P89" s="26" t="str">
        <x:v>High unless export, API access and data rights are established</x:v>
      </x:c>
      <x:c r="Q89" s="26" t="str">
        <x:v>Catalog/referral or watchlist pending status and portability validation</x:v>
      </x:c>
      <x:c r="R89" s="26" t="str">
        <x:v>Confirm architecture, owner/maintainer, source escrow or release policy, license, API specification, authentication, data model, export/import, security testing, privacy impact, uptime/SLA, backups and exit plan.</x:v>
      </x:c>
      <x:c r="S89" s="32" t="str">
        <x:v>https://agriculturistph.com/</x:v>
      </x:c>
      <x:c r="T89" s="32" t="str">
        <x:v>https://www.irri.org/news-and-events/news/philippines-stakeholders-are-charting-future-digital-agriculture</x:v>
      </x:c>
      <x:c r="U89" s="26" t="str">
        <x:v>2026-07-13</x:v>
      </x:c>
    </x:row>
    <x:row r="90" ht="58" customHeight="1">
      <x:c r="A90" s="26" t="str">
        <x:v>D2-086</x:v>
      </x:c>
      <x:c r="B90" s="26" t="str">
        <x:v>Krops</x:v>
      </x:c>
      <x:c r="C90" s="26" t="str">
        <x:v>Private startup</x:v>
      </x:c>
      <x:c r="D90" s="26" t="str">
        <x:v>Digital platform</x:v>
      </x:c>
      <x:c r="E90" s="26" t="str">
        <x:v>Proprietary or not publicly released; no official repository located</x:v>
      </x:c>
      <x:c r="F90" s="26" t="str">
        <x:v>No official public repository located</x:v>
      </x:c>
      <x:c r="G90" s="26" t="str">
        <x:v>https://www.kenresearch.com/philippines-digital-agriculture-marketplaces-market</x:v>
      </x:c>
      <x:c r="H90" s="26" t="str">
        <x:v>Not publicly specified</x:v>
      </x:c>
      <x:c r="I90" s="26" t="str">
        <x:v>No public API documentation located</x:v>
      </x:c>
      <x:c r="J90" s="26" t="str">
        <x:v>No machine-readable export specification located</x:v>
      </x:c>
      <x:c r="K90" s="26" t="str">
        <x:v>Interoperability and data governance are unknown</x:v>
      </x:c>
      <x:c r="L90" s="26" t="str">
        <x:v>Not documented</x:v>
      </x:c>
      <x:c r="M90" s="26" t="str">
        <x:v>No explicit shared-identity integration documented</x:v>
      </x:c>
      <x:c r="N90" s="26" t="str">
        <x:v>No public data schema or conformance standard located</x:v>
      </x:c>
      <x:c r="O90" s="30" t="n">
        <x:v>1</x:v>
      </x:c>
      <x:c r="P90" s="26" t="str">
        <x:v>High unless export, API access and data rights are established</x:v>
      </x:c>
      <x:c r="Q90" s="26" t="str">
        <x:v>Catalog/referral or watchlist pending status and portability validation</x:v>
      </x:c>
      <x:c r="R90" s="26" t="str">
        <x:v>Confirm architecture, owner/maintainer, source escrow or release policy, license, API specification, authentication, data model, export/import, security testing, privacy impact, uptime/SLA, backups and exit plan.</x:v>
      </x:c>
      <x:c r="S90" s="32" t="str">
        <x:v>https://www.kenresearch.com/philippines-digital-agriculture-marketplaces-market</x:v>
      </x:c>
      <x:c r="T90" s="32" t="str"/>
      <x:c r="U90" s="26" t="str">
        <x:v>2026-07-13</x:v>
      </x:c>
    </x:row>
    <x:row r="91" ht="58" customHeight="1">
      <x:c r="A91" s="26" t="str">
        <x:v>D2-087</x:v>
      </x:c>
      <x:c r="B91" s="26" t="str">
        <x:v>e-Magsasaka</x:v>
      </x:c>
      <x:c r="C91" s="26" t="str">
        <x:v>Private / community initiative</x:v>
      </x:c>
      <x:c r="D91" s="26" t="str">
        <x:v>Digital platform</x:v>
      </x:c>
      <x:c r="E91" s="26" t="str">
        <x:v>Proprietary or not publicly released; no official repository located</x:v>
      </x:c>
      <x:c r="F91" s="26" t="str">
        <x:v>No official public repository located</x:v>
      </x:c>
      <x:c r="G91" s="26" t="str">
        <x:v>https://www.kenresearch.com/philippines-digital-agriculture-marketplaces-market</x:v>
      </x:c>
      <x:c r="H91" s="26" t="str">
        <x:v>Not publicly specified</x:v>
      </x:c>
      <x:c r="I91" s="26" t="str">
        <x:v>No public API documentation located</x:v>
      </x:c>
      <x:c r="J91" s="26" t="str">
        <x:v>No machine-readable export specification located</x:v>
      </x:c>
      <x:c r="K91" s="26" t="str">
        <x:v>Interoperability and data governance are unknown</x:v>
      </x:c>
      <x:c r="L91" s="26" t="str">
        <x:v>Not documented</x:v>
      </x:c>
      <x:c r="M91" s="26" t="str">
        <x:v>No explicit shared-identity integration documented</x:v>
      </x:c>
      <x:c r="N91" s="26" t="str">
        <x:v>No public data schema or conformance standard located</x:v>
      </x:c>
      <x:c r="O91" s="30" t="n">
        <x:v>1</x:v>
      </x:c>
      <x:c r="P91" s="26" t="str">
        <x:v>High unless export, API access and data rights are established</x:v>
      </x:c>
      <x:c r="Q91" s="26" t="str">
        <x:v>Catalog/referral or watchlist pending status and portability validation</x:v>
      </x:c>
      <x:c r="R91" s="26" t="str">
        <x:v>Confirm architecture, owner/maintainer, source escrow or release policy, license, API specification, authentication, data model, export/import, security testing, privacy impact, uptime/SLA, backups and exit plan.</x:v>
      </x:c>
      <x:c r="S91" s="32" t="str">
        <x:v>https://www.kenresearch.com/philippines-digital-agriculture-marketplaces-market</x:v>
      </x:c>
      <x:c r="T91" s="32" t="str"/>
      <x:c r="U91" s="26" t="str">
        <x:v>2026-07-13</x:v>
      </x:c>
    </x:row>
    <x:row r="92" ht="58" customHeight="1">
      <x:c r="A92" s="26" t="str">
        <x:v>D2-088</x:v>
      </x:c>
      <x:c r="B92" s="26" t="str">
        <x:v>Agrilever</x:v>
      </x:c>
      <x:c r="C92" s="26" t="str">
        <x:v>Private startup</x:v>
      </x:c>
      <x:c r="D92" s="26" t="str">
        <x:v>Digital platform</x:v>
      </x:c>
      <x:c r="E92" s="26" t="str">
        <x:v>Proprietary or not publicly released; no official repository located</x:v>
      </x:c>
      <x:c r="F92" s="26" t="str">
        <x:v>No official public repository located</x:v>
      </x:c>
      <x:c r="G92" s="26" t="str">
        <x:v>https://www.kenresearch.com/philippines-digital-agriculture-marketplaces-market</x:v>
      </x:c>
      <x:c r="H92" s="26" t="str">
        <x:v>Not publicly specified</x:v>
      </x:c>
      <x:c r="I92" s="26" t="str">
        <x:v>No public API documentation located</x:v>
      </x:c>
      <x:c r="J92" s="26" t="str">
        <x:v>No machine-readable export specification located</x:v>
      </x:c>
      <x:c r="K92" s="26" t="str">
        <x:v>Interoperability and data governance are unknown</x:v>
      </x:c>
      <x:c r="L92" s="26" t="str">
        <x:v>Not documented</x:v>
      </x:c>
      <x:c r="M92" s="26" t="str">
        <x:v>No explicit shared-identity integration documented</x:v>
      </x:c>
      <x:c r="N92" s="26" t="str">
        <x:v>No public data schema or conformance standard located</x:v>
      </x:c>
      <x:c r="O92" s="30" t="n">
        <x:v>1</x:v>
      </x:c>
      <x:c r="P92" s="26" t="str">
        <x:v>High unless export, API access and data rights are established</x:v>
      </x:c>
      <x:c r="Q92" s="26" t="str">
        <x:v>Catalog/referral or watchlist pending status and portability validation</x:v>
      </x:c>
      <x:c r="R92" s="26" t="str">
        <x:v>Confirm architecture, owner/maintainer, source escrow or release policy, license, API specification, authentication, data model, export/import, security testing, privacy impact, uptime/SLA, backups and exit plan.</x:v>
      </x:c>
      <x:c r="S92" s="32" t="str">
        <x:v>https://www.kenresearch.com/philippines-digital-agriculture-marketplaces-market</x:v>
      </x:c>
      <x:c r="T92" s="32" t="str"/>
      <x:c r="U92" s="26" t="str">
        <x:v>2026-07-13</x:v>
      </x:c>
    </x:row>
    <x:row r="93" ht="58" customHeight="1">
      <x:c r="A93" s="26" t="str">
        <x:v>D2-089</x:v>
      </x:c>
      <x:c r="B93" s="26" t="str">
        <x:v>Sakahon</x:v>
      </x:c>
      <x:c r="C93" s="26" t="str">
        <x:v>Private startup</x:v>
      </x:c>
      <x:c r="D93" s="26" t="str">
        <x:v>Digital platform</x:v>
      </x:c>
      <x:c r="E93" s="26" t="str">
        <x:v>Proprietary or not publicly released; no official repository located</x:v>
      </x:c>
      <x:c r="F93" s="26" t="str">
        <x:v>No official public repository located</x:v>
      </x:c>
      <x:c r="G93" s="26" t="str">
        <x:v>https://www.kenresearch.com/philippines-digital-agriculture-marketplaces-market</x:v>
      </x:c>
      <x:c r="H93" s="26" t="str">
        <x:v>Not publicly specified</x:v>
      </x:c>
      <x:c r="I93" s="26" t="str">
        <x:v>No public API documentation located</x:v>
      </x:c>
      <x:c r="J93" s="26" t="str">
        <x:v>No machine-readable export specification located</x:v>
      </x:c>
      <x:c r="K93" s="26" t="str">
        <x:v>Interoperability and data governance are unknown</x:v>
      </x:c>
      <x:c r="L93" s="26" t="str">
        <x:v>Not documented</x:v>
      </x:c>
      <x:c r="M93" s="26" t="str">
        <x:v>No explicit shared-identity integration documented</x:v>
      </x:c>
      <x:c r="N93" s="26" t="str">
        <x:v>No public data schema or conformance standard located</x:v>
      </x:c>
      <x:c r="O93" s="30" t="n">
        <x:v>1</x:v>
      </x:c>
      <x:c r="P93" s="26" t="str">
        <x:v>High unless export, API access and data rights are established</x:v>
      </x:c>
      <x:c r="Q93" s="26" t="str">
        <x:v>Catalog/referral or watchlist pending status and portability validation</x:v>
      </x:c>
      <x:c r="R93" s="26" t="str">
        <x:v>Confirm architecture, owner/maintainer, source escrow or release policy, license, API specification, authentication, data model, export/import, security testing, privacy impact, uptime/SLA, backups and exit plan.</x:v>
      </x:c>
      <x:c r="S93" s="32" t="str">
        <x:v>https://www.kenresearch.com/philippines-digital-agriculture-marketplaces-market</x:v>
      </x:c>
      <x:c r="T93" s="32" t="str"/>
      <x:c r="U93" s="26" t="str">
        <x:v>2026-07-13</x:v>
      </x:c>
    </x:row>
    <x:row r="94" ht="58" customHeight="1">
      <x:c r="A94" s="26" t="str">
        <x:v>D2-090</x:v>
      </x:c>
      <x:c r="B94" s="26" t="str">
        <x:v>Farm Konekt</x:v>
      </x:c>
      <x:c r="C94" s="26" t="str">
        <x:v>Private startup / initiative</x:v>
      </x:c>
      <x:c r="D94" s="26" t="str">
        <x:v>Digital platform</x:v>
      </x:c>
      <x:c r="E94" s="26" t="str">
        <x:v>Proprietary or not publicly released; no official repository located</x:v>
      </x:c>
      <x:c r="F94" s="26" t="str">
        <x:v>No official public repository located</x:v>
      </x:c>
      <x:c r="G94" s="26" t="str">
        <x:v>https://www.kenresearch.com/philippines-digital-agriculture-marketplaces-market</x:v>
      </x:c>
      <x:c r="H94" s="26" t="str">
        <x:v>Not publicly specified</x:v>
      </x:c>
      <x:c r="I94" s="26" t="str">
        <x:v>No public API documentation located</x:v>
      </x:c>
      <x:c r="J94" s="26" t="str">
        <x:v>No machine-readable export specification located</x:v>
      </x:c>
      <x:c r="K94" s="26" t="str">
        <x:v>Interoperability and governance are unknown</x:v>
      </x:c>
      <x:c r="L94" s="26" t="str">
        <x:v>Not documented</x:v>
      </x:c>
      <x:c r="M94" s="26" t="str">
        <x:v>No explicit shared-identity integration documented</x:v>
      </x:c>
      <x:c r="N94" s="26" t="str">
        <x:v>No public data schema or conformance standard located</x:v>
      </x:c>
      <x:c r="O94" s="30" t="n">
        <x:v>1</x:v>
      </x:c>
      <x:c r="P94" s="26" t="str">
        <x:v>High unless export, API access and data rights are established</x:v>
      </x:c>
      <x:c r="Q94" s="26" t="str">
        <x:v>Catalog/referral or watchlist pending status and portability validation</x:v>
      </x:c>
      <x:c r="R94" s="26" t="str">
        <x:v>Confirm architecture, owner/maintainer, source escrow or release policy, license, API specification, authentication, data model, export/import, security testing, privacy impact, uptime/SLA, backups and exit plan.</x:v>
      </x:c>
      <x:c r="S94" s="32" t="str">
        <x:v>https://www.kenresearch.com/philippines-digital-agriculture-marketplaces-market</x:v>
      </x:c>
      <x:c r="T94" s="32" t="str"/>
      <x:c r="U94" s="26" t="str">
        <x:v>2026-07-13</x:v>
      </x:c>
    </x:row>
    <x:row r="95" ht="58" customHeight="1">
      <x:c r="A95" s="26" t="str">
        <x:v>D2-091</x:v>
      </x:c>
      <x:c r="B95" s="26" t="str">
        <x:v>iCarus Agri-Tech</x:v>
      </x:c>
      <x:c r="C95" s="26" t="str">
        <x:v>iCarus Agri-Tech</x:v>
      </x:c>
      <x:c r="D95" s="26" t="str">
        <x:v>Digital farm management and precision technologies</x:v>
      </x:c>
      <x:c r="E95" s="26" t="str">
        <x:v>Proprietary or not publicly released; no official repository located</x:v>
      </x:c>
      <x:c r="F95" s="26" t="str">
        <x:v>No official public repository located</x:v>
      </x:c>
      <x:c r="G95" s="26" t="str">
        <x:v>https://www.facebook.com/Agri.AMAS/posts/1246978703885717/</x:v>
      </x:c>
      <x:c r="H95" s="26" t="str">
        <x:v>Not publicly specified</x:v>
      </x:c>
      <x:c r="I95" s="26" t="str">
        <x:v>No public API documentation located</x:v>
      </x:c>
      <x:c r="J95" s="26" t="str">
        <x:v>No machine-readable export specification located</x:v>
      </x:c>
      <x:c r="K95" s="26" t="str">
        <x:v>Commercial farm data likely require proprietary agreements</x:v>
      </x:c>
      <x:c r="L95" s="26" t="str">
        <x:v>Not documented</x:v>
      </x:c>
      <x:c r="M95" s="26" t="str">
        <x:v>No explicit shared-identity integration documented</x:v>
      </x:c>
      <x:c r="N95" s="26" t="str">
        <x:v>No public data schema or conformance standard located</x:v>
      </x:c>
      <x:c r="O95" s="30" t="n">
        <x:v>1</x:v>
      </x:c>
      <x:c r="P95" s="26" t="str">
        <x:v>High unless export, API access and data rights are established</x:v>
      </x:c>
      <x:c r="Q95" s="26" t="str">
        <x:v>Catalog/referral or watchlist pending status and portability validation</x:v>
      </x:c>
      <x:c r="R95" s="26" t="str">
        <x:v>Confirm architecture, owner/maintainer, source escrow or release policy, license, API specification, authentication, data model, export/import, security testing, privacy impact, uptime/SLA, backups and exit plan.</x:v>
      </x:c>
      <x:c r="S95" s="32" t="str">
        <x:v>https://www.facebook.com/Agri.AMAS/posts/1246978703885717/</x:v>
      </x:c>
      <x:c r="T95" s="32" t="str"/>
      <x:c r="U95" s="26" t="str">
        <x:v>2026-07-13</x:v>
      </x:c>
    </x:row>
    <x:row r="96" ht="58" customHeight="1">
      <x:c r="A96" s="26" t="str">
        <x:v>D2-092</x:v>
      </x:c>
      <x:c r="B96" s="26" t="str">
        <x:v>Facebook Marketplace for Agri-products</x:v>
      </x:c>
      <x:c r="C96" s="26" t="str">
        <x:v>Platform owner / DTI for Go Lokal!</x:v>
      </x:c>
      <x:c r="D96" s="26" t="str">
        <x:v>Web/mobile e-commerce or market-promotion platform</x:v>
      </x:c>
      <x:c r="E96" s="26" t="str">
        <x:v>Public web/service interface; source code not publicly located</x:v>
      </x:c>
      <x:c r="F96" s="26" t="str">
        <x:v>No official public repository located</x:v>
      </x:c>
      <x:c r="G96" s="26" t="str">
        <x:v>https://www.facebook.com/marketplace/</x:v>
      </x:c>
      <x:c r="H96" s="26" t="str">
        <x:v>Not publicly specified</x:v>
      </x:c>
      <x:c r="I96" s="26" t="str">
        <x:v>No public API documentation located</x:v>
      </x:c>
      <x:c r="J96" s="26" t="str">
        <x:v>No machine-readable export specification located</x:v>
      </x:c>
      <x:c r="K96" s="26" t="str">
        <x:v>Platform-controlled user and transaction data; proprietary interfaces</x:v>
      </x:c>
      <x:c r="L96" s="26" t="str">
        <x:v>Not documented</x:v>
      </x:c>
      <x:c r="M96" s="26" t="str">
        <x:v>No explicit shared-identity integration documented</x:v>
      </x:c>
      <x:c r="N96" s="26" t="str">
        <x:v>No public data schema or conformance standard located</x:v>
      </x:c>
      <x:c r="O96" s="30" t="n">
        <x:v>1</x:v>
      </x:c>
      <x:c r="P96" s="26" t="str">
        <x:v>High unless export, API access and data rights are established</x:v>
      </x:c>
      <x:c r="Q96" s="26" t="str">
        <x:v>Catalog/referral or watchlist pending status and portability validation</x:v>
      </x:c>
      <x:c r="R96" s="26" t="str">
        <x:v>Confirm architecture, owner/maintainer, source escrow or release policy, license, API specification, authentication, data model, export/import, security testing, privacy impact, uptime/SLA, backups and exit plan.</x:v>
      </x:c>
      <x:c r="S96" s="32" t="str">
        <x:v>https://www.facebook.com/marketplace/</x:v>
      </x:c>
      <x:c r="T96" s="32" t="str">
        <x:v>https://pidswebs.pids.gov.ph/CDN/document/pidsdps2329.pdf</x:v>
      </x:c>
      <x:c r="U96" s="26" t="str">
        <x:v>2026-07-13</x:v>
      </x:c>
    </x:row>
    <x:row r="97" ht="58" customHeight="1">
      <x:c r="A97" s="26" t="str">
        <x:v>D2-093</x:v>
      </x:c>
      <x:c r="B97" s="26" t="str">
        <x:v>Lazada Agriculture and Farm-supply Channels</x:v>
      </x:c>
      <x:c r="C97" s="26" t="str">
        <x:v>Platform owner / DTI for Go Lokal!</x:v>
      </x:c>
      <x:c r="D97" s="26" t="str">
        <x:v>Web/mobile e-commerce or market-promotion platform</x:v>
      </x:c>
      <x:c r="E97" s="26" t="str">
        <x:v>Public web/service interface; source code not publicly located</x:v>
      </x:c>
      <x:c r="F97" s="26" t="str">
        <x:v>No official public repository located</x:v>
      </x:c>
      <x:c r="G97" s="26" t="str">
        <x:v>https://www.lazada.com.ph/</x:v>
      </x:c>
      <x:c r="H97" s="26" t="str">
        <x:v>Not publicly specified</x:v>
      </x:c>
      <x:c r="I97" s="26" t="str">
        <x:v>No public API documentation located</x:v>
      </x:c>
      <x:c r="J97" s="26" t="str">
        <x:v>No machine-readable export specification located</x:v>
      </x:c>
      <x:c r="K97" s="26" t="str">
        <x:v>Platform-controlled user and transaction data; proprietary interfaces</x:v>
      </x:c>
      <x:c r="L97" s="26" t="str">
        <x:v>Not documented</x:v>
      </x:c>
      <x:c r="M97" s="26" t="str">
        <x:v>No explicit shared-identity integration documented</x:v>
      </x:c>
      <x:c r="N97" s="26" t="str">
        <x:v>No public data schema or conformance standard located</x:v>
      </x:c>
      <x:c r="O97" s="30" t="n">
        <x:v>1</x:v>
      </x:c>
      <x:c r="P97" s="26" t="str">
        <x:v>High unless export, API access and data rights are established</x:v>
      </x:c>
      <x:c r="Q97" s="26" t="str">
        <x:v>Catalog/referral or watchlist pending status and portability validation</x:v>
      </x:c>
      <x:c r="R97" s="26" t="str">
        <x:v>Confirm architecture, owner/maintainer, source escrow or release policy, license, API specification, authentication, data model, export/import, security testing, privacy impact, uptime/SLA, backups and exit plan.</x:v>
      </x:c>
      <x:c r="S97" s="32" t="str">
        <x:v>https://www.lazada.com.ph/</x:v>
      </x:c>
      <x:c r="T97" s="32" t="str">
        <x:v>https://pidswebs.pids.gov.ph/CDN/document/pidsdps2329.pdf</x:v>
      </x:c>
      <x:c r="U97" s="26" t="str">
        <x:v>2026-07-13</x:v>
      </x:c>
    </x:row>
    <x:row r="98" ht="58" customHeight="1">
      <x:c r="A98" s="26" t="str">
        <x:v>D2-094</x:v>
      </x:c>
      <x:c r="B98" s="26" t="str">
        <x:v>Shopee Agriculture and Farm-supply Channels</x:v>
      </x:c>
      <x:c r="C98" s="26" t="str">
        <x:v>Platform owner / DTI for Go Lokal!</x:v>
      </x:c>
      <x:c r="D98" s="26" t="str">
        <x:v>Web/mobile e-commerce or market-promotion platform</x:v>
      </x:c>
      <x:c r="E98" s="26" t="str">
        <x:v>Public web/service interface; source code not publicly located</x:v>
      </x:c>
      <x:c r="F98" s="26" t="str">
        <x:v>No official public repository located</x:v>
      </x:c>
      <x:c r="G98" s="26" t="str">
        <x:v>https://shopee.ph/</x:v>
      </x:c>
      <x:c r="H98" s="26" t="str">
        <x:v>Not publicly specified</x:v>
      </x:c>
      <x:c r="I98" s="26" t="str">
        <x:v>No public API documentation located</x:v>
      </x:c>
      <x:c r="J98" s="26" t="str">
        <x:v>No machine-readable export specification located</x:v>
      </x:c>
      <x:c r="K98" s="26" t="str">
        <x:v>Platform-controlled user and transaction data; proprietary interfaces</x:v>
      </x:c>
      <x:c r="L98" s="26" t="str">
        <x:v>Not documented</x:v>
      </x:c>
      <x:c r="M98" s="26" t="str">
        <x:v>No explicit shared-identity integration documented</x:v>
      </x:c>
      <x:c r="N98" s="26" t="str">
        <x:v>No public data schema or conformance standard located</x:v>
      </x:c>
      <x:c r="O98" s="30" t="n">
        <x:v>1</x:v>
      </x:c>
      <x:c r="P98" s="26" t="str">
        <x:v>High unless export, API access and data rights are established</x:v>
      </x:c>
      <x:c r="Q98" s="26" t="str">
        <x:v>Catalog/referral or watchlist pending status and portability validation</x:v>
      </x:c>
      <x:c r="R98" s="26" t="str">
        <x:v>Confirm architecture, owner/maintainer, source escrow or release policy, license, API specification, authentication, data model, export/import, security testing, privacy impact, uptime/SLA, backups and exit plan.</x:v>
      </x:c>
      <x:c r="S98" s="32" t="str">
        <x:v>https://shopee.ph/</x:v>
      </x:c>
      <x:c r="T98" s="32" t="str">
        <x:v>https://pidswebs.pids.gov.ph/CDN/document/pidsdps2329.pdf</x:v>
      </x:c>
      <x:c r="U98" s="26" t="str">
        <x:v>2026-07-13</x:v>
      </x:c>
    </x:row>
    <x:row r="99" ht="58" customHeight="1">
      <x:c r="A99" s="26" t="str">
        <x:v>D2-095</x:v>
      </x:c>
      <x:c r="B99" s="26" t="str">
        <x:v>Go Lokal! Digital Market Channels</x:v>
      </x:c>
      <x:c r="C99" s="26" t="str">
        <x:v>Platform owner / DTI for Go Lokal!</x:v>
      </x:c>
      <x:c r="D99" s="26" t="str">
        <x:v>Web/mobile e-commerce or market-promotion platform</x:v>
      </x:c>
      <x:c r="E99" s="26" t="str">
        <x:v>Public web/service interface; source code not publicly located</x:v>
      </x:c>
      <x:c r="F99" s="26" t="str">
        <x:v>No official public repository located</x:v>
      </x:c>
      <x:c r="G99" s="26" t="str">
        <x:v>https://golokal.dti.gov.ph/</x:v>
      </x:c>
      <x:c r="H99" s="26" t="str">
        <x:v>Not publicly specified</x:v>
      </x:c>
      <x:c r="I99" s="26" t="str">
        <x:v>No public API documentation located</x:v>
      </x:c>
      <x:c r="J99" s="26" t="str">
        <x:v>No machine-readable export specification located</x:v>
      </x:c>
      <x:c r="K99" s="26" t="str">
        <x:v>Platform-controlled user and transaction data; proprietary interfaces</x:v>
      </x:c>
      <x:c r="L99" s="26" t="str">
        <x:v>Not documented</x:v>
      </x:c>
      <x:c r="M99" s="26" t="str">
        <x:v>No explicit shared-identity integration documented</x:v>
      </x:c>
      <x:c r="N99" s="26" t="str">
        <x:v>No public data schema or conformance standard located</x:v>
      </x:c>
      <x:c r="O99" s="30" t="n">
        <x:v>1</x:v>
      </x:c>
      <x:c r="P99" s="26" t="str">
        <x:v>High unless export, API access and data rights are established</x:v>
      </x:c>
      <x:c r="Q99" s="26" t="str">
        <x:v>Catalog/referral or watchlist pending status and portability validation</x:v>
      </x:c>
      <x:c r="R99" s="26" t="str">
        <x:v>Confirm architecture, owner/maintainer, source escrow or release policy, license, API specification, authentication, data model, export/import, security testing, privacy impact, uptime/SLA, backups and exit plan.</x:v>
      </x:c>
      <x:c r="S99" s="32" t="str">
        <x:v>https://golokal.dti.gov.ph/</x:v>
      </x:c>
      <x:c r="T99" s="32" t="str">
        <x:v>https://pidswebs.pids.gov.ph/CDN/document/pidsdps2329.pdf</x:v>
      </x:c>
      <x:c r="U99" s="26" t="str">
        <x:v>2026-07-13</x:v>
      </x:c>
    </x:row>
    <x:row r="100" ht="58" customHeight="1">
      <x:c r="A100" s="26" t="str">
        <x:v>D2-096</x:v>
      </x:c>
      <x:c r="B100" s="26" t="str">
        <x:v>Global Market Intelligence Platform</x:v>
      </x:c>
      <x:c r="C100" s="26" t="str">
        <x:v>CGIAR and partners</x:v>
      </x:c>
      <x:c r="D100" s="26" t="str">
        <x:v>Web data platform and analytics</x:v>
      </x:c>
      <x:c r="E100" s="26" t="str">
        <x:v>Public web/service interface; source code not publicly located</x:v>
      </x:c>
      <x:c r="F100" s="26" t="str">
        <x:v>No official public repository located</x:v>
      </x:c>
      <x:c r="G100" s="26" t="str">
        <x:v>https://glomip.cgiar.org/</x:v>
      </x:c>
      <x:c r="H100" s="26" t="str">
        <x:v>Not publicly specified</x:v>
      </x:c>
      <x:c r="I100" s="26" t="str">
        <x:v>No public API documentation located</x:v>
      </x:c>
      <x:c r="J100" s="26" t="str">
        <x:v>No machine-readable export specification located</x:v>
      </x:c>
      <x:c r="K100" s="26" t="str">
        <x:v>Licenses, methods and machine-readable services need assessment</x:v>
      </x:c>
      <x:c r="L100" s="26" t="str">
        <x:v>Not documented</x:v>
      </x:c>
      <x:c r="M100" s="26" t="str">
        <x:v>No explicit shared-identity integration documented</x:v>
      </x:c>
      <x:c r="N100" s="26" t="str">
        <x:v>Critical Tracking Events / Key Data Elements framework documented</x:v>
      </x:c>
      <x:c r="O100" s="30" t="n">
        <x:v>1</x:v>
      </x:c>
      <x:c r="P100" s="26" t="str">
        <x:v>High unless export, API access and data rights are established</x:v>
      </x:c>
      <x:c r="Q100" s="26" t="str">
        <x:v>Catalog/referral or watchlist pending status and portability validation</x:v>
      </x:c>
      <x:c r="R100" s="26" t="str">
        <x:v>Confirm architecture, owner/maintainer, source escrow or release policy, license, API specification, authentication, data model, export/import, security testing, privacy impact, uptime/SLA, backups and exit plan.</x:v>
      </x:c>
      <x:c r="S100" s="32" t="str">
        <x:v>https://glomip.cgiar.org/</x:v>
      </x:c>
      <x:c r="T100" s="32" t="str">
        <x:v>https://www.irri.org/news-and-events/news/philippines-stakeholders-are-charting-future-digital-agriculture</x:v>
      </x:c>
      <x:c r="U100" s="26" t="str">
        <x:v>2026-07-13</x:v>
      </x:c>
    </x:row>
    <x:row r="101" ht="58" customHeight="1">
      <x:c r="A101" s="26" t="str">
        <x:v>D2-097</x:v>
      </x:c>
      <x:c r="B101" s="26" t="str">
        <x:v>eDECIDE Data Analysis and API Platform</x:v>
      </x:c>
      <x:c r="C101" s="26" t="str">
        <x:v>DOST-ASTI</x:v>
      </x:c>
      <x:c r="D101" s="26" t="str">
        <x:v>API platform, analytics and dashboards</x:v>
      </x:c>
      <x:c r="E101" s="26" t="str">
        <x:v>Public web/service interface; source code not publicly located</x:v>
      </x:c>
      <x:c r="F101" s="26" t="str">
        <x:v>No official public repository located</x:v>
      </x:c>
      <x:c r="G101" s="26" t="str">
        <x:v>https://asti.dost.gov.ph/wp-content/uploads/ASTI-PPAs-2026-v2-FDL_17-June-26.pdf</x:v>
      </x:c>
      <x:c r="H101" s="26" t="str">
        <x:v>Not publicly specified</x:v>
      </x:c>
      <x:c r="I101" s="26" t="str">
        <x:v>API platform is an explicit project objective; public endpoint documentation not located</x:v>
      </x:c>
      <x:c r="J101" s="26" t="str">
        <x:v>Intended to support cross-system collection and analytics; formats not public</x:v>
      </x:c>
      <x:c r="K101" s="26" t="str">
        <x:v>API integration is central; sharing rules must be defined per deployment</x:v>
      </x:c>
      <x:c r="L101" s="26" t="str">
        <x:v>Not documented</x:v>
      </x:c>
      <x:c r="M101" s="26" t="str">
        <x:v>No explicit shared-identity integration documented</x:v>
      </x:c>
      <x:c r="N101" s="26" t="str">
        <x:v>No public data schema or conformance standard located</x:v>
      </x:c>
      <x:c r="O101" s="30" t="n">
        <x:v>2</x:v>
      </x:c>
      <x:c r="P101" s="26" t="str">
        <x:v>Medium; internal integration exists but external portability is unproven</x:v>
      </x:c>
      <x:c r="Q101" s="26" t="str">
        <x:v>Selective data feed or embedded service after technical and legal validation</x:v>
      </x:c>
      <x:c r="R101" s="26" t="str">
        <x:v>Confirm architecture, owner/maintainer, source escrow or release policy, license, API specification, authentication, data model, export/import, security testing, privacy impact, uptime/SLA, backups and exit plan.</x:v>
      </x:c>
      <x:c r="S101" s="32" t="str">
        <x:v>https://asti.dost.gov.ph/wp-content/uploads/ASTI-PPAs-2026-v2-FDL_17-June-26.pdf</x:v>
      </x:c>
      <x:c r="T101" s="32" t="str"/>
      <x:c r="U101" s="26" t="str">
        <x:v>2026-07-13</x:v>
      </x:c>
    </x:row>
    <x:row r="102" ht="58" customHeight="1">
      <x:c r="A102" s="26" t="str">
        <x:v>D2-098</x:v>
      </x:c>
      <x:c r="B102" s="26" t="str">
        <x:v>BlockSTART National Blockchain Infrastructure Feasibility Study</x:v>
      </x:c>
      <x:c r="C102" s="26" t="str">
        <x:v>DOST-ASTI / DOST-PCIEERD</x:v>
      </x:c>
      <x:c r="D102" s="26" t="str">
        <x:v>Feasibility study and blockchain architecture</x:v>
      </x:c>
      <x:c r="E102" s="26" t="str">
        <x:v>Feasibility study; no deployable source package identified</x:v>
      </x:c>
      <x:c r="F102" s="26" t="str">
        <x:v>Not applicable</x:v>
      </x:c>
      <x:c r="G102" s="26" t="str">
        <x:v>https://asti.dost.gov.ph/wp-content/uploads/ASTI-PPAs-2026-v2-FDL_17-June-26.pdf</x:v>
      </x:c>
      <x:c r="H102" s="26" t="str">
        <x:v>Not publicly specified</x:v>
      </x:c>
      <x:c r="I102" s="26" t="str">
        <x:v>No public API documentation located</x:v>
      </x:c>
      <x:c r="J102" s="26" t="str">
        <x:v>No machine-readable export specification located</x:v>
      </x:c>
      <x:c r="K102" s="26" t="str">
        <x:v>Blockchain does not replace lawful governance or off-chain privacy</x:v>
      </x:c>
      <x:c r="L102" s="26" t="str">
        <x:v>Not documented</x:v>
      </x:c>
      <x:c r="M102" s="26" t="str">
        <x:v>No explicit shared-identity integration documented</x:v>
      </x:c>
      <x:c r="N102" s="26" t="str">
        <x:v>No public data schema or conformance standard located</x:v>
      </x:c>
      <x:c r="O102" s="30" t="n">
        <x:v>1</x:v>
      </x:c>
      <x:c r="P102" s="26" t="str">
        <x:v>High unless export, API access and data rights are established</x:v>
      </x:c>
      <x:c r="Q102" s="26" t="str">
        <x:v>Catalog/referral or watchlist pending status and portability validation</x:v>
      </x:c>
      <x:c r="R102" s="26" t="str">
        <x:v>Confirm architecture, owner/maintainer, source escrow or release policy, license, API specification, authentication, data model, export/import, security testing, privacy impact, uptime/SLA, backups and exit plan.</x:v>
      </x:c>
      <x:c r="S102" s="32" t="str">
        <x:v>https://asti.dost.gov.ph/wp-content/uploads/ASTI-PPAs-2026-v2-FDL_17-June-26.pdf</x:v>
      </x:c>
      <x:c r="T102" s="32" t="str"/>
      <x:c r="U102" s="26" t="str">
        <x:v>2026-07-13</x:v>
      </x:c>
    </x:row>
    <x:row r="103" ht="58" customHeight="1">
      <x:c r="A103" s="26" t="str">
        <x:v>D2-099</x:v>
      </x:c>
      <x:c r="B103" s="26" t="str">
        <x:v>DigiSaka Digital Agriculture System</x:v>
      </x:c>
      <x:c r="C103" s="26" t="str">
        <x:v>Leads Agricultural Products Corporation with IMPACT R&amp;D and partners</x:v>
      </x:c>
      <x:c r="D103" s="26" t="str">
        <x:v>WebGIS, mobile, dashboards, offline workflows, analytics and optional blockchain</x:v>
      </x:c>
      <x:c r="E103" s="26" t="str">
        <x:v>Proprietary or not publicly released; no official repository located</x:v>
      </x:c>
      <x:c r="F103" s="26" t="str">
        <x:v>No official public repository located</x:v>
      </x:c>
      <x:c r="G103" s="26" t="str">
        <x:v>https://www.leadsagri.com/</x:v>
      </x:c>
      <x:c r="H103" s="26" t="str">
        <x:v>Not publicly specified</x:v>
      </x:c>
      <x:c r="I103" s="26" t="str">
        <x:v>Modular/federated API architecture is intended; public developer documentation not yet available</x:v>
      </x:c>
      <x:c r="J103" s="26" t="str">
        <x:v>Portability is an explicit requirement but public schemas are not yet published</x:v>
      </x:c>
      <x:c r="K103" s="26" t="str">
        <x:v>Designed as an operational data/MRV layer; farmer-controlled consent, portability and APIs are essential</x:v>
      </x:c>
      <x:c r="L103" s="26" t="str">
        <x:v>Offline capability documented</x:v>
      </x:c>
      <x:c r="M103" s="26" t="str">
        <x:v>No explicit shared-identity integration documented</x:v>
      </x:c>
      <x:c r="N103" s="26" t="str">
        <x:v>Critical Tracking Events / Key Data Elements framework documented</x:v>
      </x:c>
      <x:c r="O103" s="30" t="n">
        <x:v>2</x:v>
      </x:c>
      <x:c r="P103" s="26" t="str">
        <x:v>Medium; internal integration exists but external portability is unproven</x:v>
      </x:c>
      <x:c r="Q103" s="26" t="str">
        <x:v>Governed connector/API or scheduled exchange with shared IDs, metadata and audit logs</x:v>
      </x:c>
      <x:c r="R103" s="26" t="str">
        <x:v>Confirm architecture, owner/maintainer, source escrow or release policy, license, API specification, authentication, data model, export/import, security testing, privacy impact, uptime/SLA, backups and exit plan.</x:v>
      </x:c>
      <x:c r="S103" s="32" t="str">
        <x:v>https://www.leadsagri.com/</x:v>
      </x:c>
      <x:c r="T103" s="32" t="str">
        <x:v>https://www.impactofresearch.org/</x:v>
      </x:c>
      <x:c r="U103" s="26" t="str">
        <x:v>2026-07-13</x:v>
      </x:c>
    </x:row>
    <x:row r="104" ht="58" customHeight="1">
      <x:c r="A104" s="26" t="str">
        <x:v>D2-100</x:v>
      </x:c>
      <x:c r="B104" s="26" t="str">
        <x:v>Smarter and Innovative Agriculture Virtual Hub</x:v>
      </x:c>
      <x:c r="C104" s="26" t="str">
        <x:v>DOST Region III</x:v>
      </x:c>
      <x:c r="D104" s="26" t="str">
        <x:v>Federated portal, service catalog, dashboards and integration layer</x:v>
      </x:c>
      <x:c r="E104" s="26" t="str">
        <x:v>Public web/service interface; source code not publicly located</x:v>
      </x:c>
      <x:c r="F104" s="26" t="str">
        <x:v>No official public repository located</x:v>
      </x:c>
      <x:c r="G104" s="26" t="str">
        <x:v>https://region3.dost.gov.ph/</x:v>
      </x:c>
      <x:c r="H104" s="26" t="str">
        <x:v>Not publicly specified</x:v>
      </x:c>
      <x:c r="I104" s="26" t="str">
        <x:v>Modular/federated API architecture is intended; public developer documentation not yet available</x:v>
      </x:c>
      <x:c r="J104" s="26" t="str">
        <x:v>Portability is an explicit requirement but public schemas are not yet published</x:v>
      </x:c>
      <x:c r="K104" s="26" t="str">
        <x:v>Should federate metadata, services and consented data rather than centralize all records</x:v>
      </x:c>
      <x:c r="L104" s="26" t="str">
        <x:v>Not documented</x:v>
      </x:c>
      <x:c r="M104" s="26" t="str">
        <x:v>No explicit shared-identity integration documented</x:v>
      </x:c>
      <x:c r="N104" s="26" t="str">
        <x:v>No public data schema or conformance standard located</x:v>
      </x:c>
      <x:c r="O104" s="30" t="n">
        <x:v>1</x:v>
      </x:c>
      <x:c r="P104" s="26" t="str">
        <x:v>High unless export, API access and data rights are established</x:v>
      </x:c>
      <x:c r="Q104" s="26" t="str">
        <x:v>Catalog + deep link/referral; require API/export roadmap before deeper SINAG integration</x:v>
      </x:c>
      <x:c r="R104" s="26" t="str">
        <x:v>Confirm architecture, owner/maintainer, source escrow or release policy, license, API specification, authentication, data model, export/import, security testing, privacy impact, uptime/SLA, backups and exit plan.</x:v>
      </x:c>
      <x:c r="S104" s="32" t="str">
        <x:v>https://region3.dost.gov.ph/</x:v>
      </x:c>
      <x:c r="T104" s="32" t="str"/>
      <x:c r="U104" s="26" t="str">
        <x:v>2026-07-13</x:v>
      </x:c>
    </x:row>
    <x:row r="105" ht="58" customHeight="1">
      <x:c r="A105" s="26" t="str">
        <x:v>D2-101</x:v>
      </x:c>
      <x:c r="B105" s="26" t="str">
        <x:v>Integrated Farm Attribution for Risk and Resource Monitoring and Management</x:v>
      </x:c>
      <x:c r="C105" s="26" t="str">
        <x:v>Department of Agriculture / DA-BAR / regional field offices</x:v>
      </x:c>
      <x:c r="D105" s="26" t="str">
        <x:v>Web application, geospatial analytics and field verification</x:v>
      </x:c>
      <x:c r="E105" s="26" t="str">
        <x:v>Public web/service interface; source code not publicly located</x:v>
      </x:c>
      <x:c r="F105" s="26" t="str">
        <x:v>No official public repository located</x:v>
      </x:c>
      <x:c r="G105" s="26" t="str">
        <x:v>https://cagayandeoro.da.gov.ph/index.php/agri-10-hosts-natl-training-workshop-on-ifarm-system-to-strengthen-agri-info-and-disaster-preparedness/</x:v>
      </x:c>
      <x:c r="H105" s="26" t="str">
        <x:v>Not publicly specified</x:v>
      </x:c>
      <x:c r="I105" s="26" t="str">
        <x:v>No public API documentation located</x:v>
      </x:c>
      <x:c r="J105" s="26" t="str">
        <x:v>No machine-readable export specification located</x:v>
      </x:c>
      <x:c r="K105" s="26" t="str">
        <x:v>Internal geospatial, climate and remote-sensing integration is evident; no public API or source repository identified</x:v>
      </x:c>
      <x:c r="L105" s="26" t="str">
        <x:v>Not documented</x:v>
      </x:c>
      <x:c r="M105" s="26" t="str">
        <x:v>No explicit shared-identity integration documented</x:v>
      </x:c>
      <x:c r="N105" s="26" t="str">
        <x:v>Geospatial exchange is relevant; CRS, metadata and service standards are not publicly documented</x:v>
      </x:c>
      <x:c r="O105" s="30" t="n">
        <x:v>2</x:v>
      </x:c>
      <x:c r="P105" s="26" t="str">
        <x:v>Medium; internal integration exists but external portability is unproven</x:v>
      </x:c>
      <x:c r="Q105" s="26" t="str">
        <x:v>Governed connector/API or scheduled exchange with shared IDs, metadata and audit logs</x:v>
      </x:c>
      <x:c r="R105" s="26" t="str">
        <x:v>Confirm architecture, owner/maintainer, source escrow or release policy, license, API specification, authentication, data model, export/import, security testing, privacy impact, uptime/SLA, backups and exit plan.</x:v>
      </x:c>
      <x:c r="S105" s="32" t="str">
        <x:v>https://cagayandeoro.da.gov.ph/index.php/agri-10-hosts-natl-training-workshop-on-ifarm-system-to-strengthen-agri-info-and-disaster-preparedness/</x:v>
      </x:c>
      <x:c r="T105" s="32" t="str"/>
      <x:c r="U105" s="26" t="str">
        <x:v>2026-07-13</x:v>
      </x:c>
    </x:row>
    <x:row r="106" ht="58" customHeight="1">
      <x:c r="A106" s="26" t="str">
        <x:v>D2-102</x:v>
      </x:c>
      <x:c r="B106" s="26" t="str">
        <x:v>Automated Water Level Monitoring System Philippines</x:v>
      </x:c>
      <x:c r="C106" s="26" t="str">
        <x:v>IRRI, DA-PhilRice and Department of Agriculture</x:v>
      </x:c>
      <x:c r="D106" s="26" t="str">
        <x:v>Water-level sensors, wireless communications and web platform</x:v>
      </x:c>
      <x:c r="E106" s="26" t="str">
        <x:v>Proprietary or not publicly released; no official repository located</x:v>
      </x:c>
      <x:c r="F106" s="26" t="str">
        <x:v>No official public repository located</x:v>
      </x:c>
      <x:c r="G106" s="26" t="str">
        <x:v>https://dvi-ke.fao.org/digital_solutions_details.php?id=639</x:v>
      </x:c>
      <x:c r="H106" s="26" t="str">
        <x:v>Not publicly specified</x:v>
      </x:c>
      <x:c r="I106" s="26" t="str">
        <x:v>No public API documentation located</x:v>
      </x:c>
      <x:c r="J106" s="26" t="str">
        <x:v>No machine-readable export specification located</x:v>
      </x:c>
      <x:c r="K106" s="26" t="str">
        <x:v>Sensor-to-server architecture and stakeholder information sharing are documented; public API and code are not</x:v>
      </x:c>
      <x:c r="L106" s="26" t="str">
        <x:v>Not documented</x:v>
      </x:c>
      <x:c r="M106" s="26" t="str">
        <x:v>No explicit shared-identity integration documented</x:v>
      </x:c>
      <x:c r="N106" s="26" t="str">
        <x:v>No public data schema or conformance standard located</x:v>
      </x:c>
      <x:c r="O106" s="30" t="n">
        <x:v>2</x:v>
      </x:c>
      <x:c r="P106" s="26" t="str">
        <x:v>Medium; internal integration exists but external portability is unproven</x:v>
      </x:c>
      <x:c r="Q106" s="26" t="str">
        <x:v>Governed connector/API or scheduled exchange with shared IDs, metadata and audit logs</x:v>
      </x:c>
      <x:c r="R106" s="26" t="str">
        <x:v>Confirm architecture, owner/maintainer, source escrow or release policy, license, API specification, authentication, data model, export/import, security testing, privacy impact, uptime/SLA, backups and exit plan.</x:v>
      </x:c>
      <x:c r="S106" s="32" t="str">
        <x:v>https://dvi-ke.fao.org/digital_solutions_details.php?id=639</x:v>
      </x:c>
      <x:c r="T106" s="32" t="str">
        <x:v>https://www.philrice.gov.ph/philrice-develops-real-time-water-monitoring-system/</x:v>
      </x:c>
      <x:c r="U106" s="26" t="str">
        <x:v>2026-07-13</x:v>
      </x:c>
    </x:row>
    <x:row r="107" ht="58" customHeight="1">
      <x:c r="A107" s="26" t="str">
        <x:v>D2-103</x:v>
      </x:c>
      <x:c r="B107" s="26" t="str">
        <x:v>Rice Seed Information System</x:v>
      </x:c>
      <x:c r="C107" s="26" t="str">
        <x:v>Department of Agriculture, BPI, DA-PhilRice, DA-BAR and regional offices</x:v>
      </x:c>
      <x:c r="D107" s="26" t="str">
        <x:v>Web portal, dashboards, mobile/field apps and linked subsystems</x:v>
      </x:c>
      <x:c r="E107" s="26" t="str">
        <x:v>Public web/service interface; source code not publicly located</x:v>
      </x:c>
      <x:c r="F107" s="26" t="str">
        <x:v>No official public repository located</x:v>
      </x:c>
      <x:c r="G107" s="26" t="str">
        <x:v>https://rsis.philrice.gov.ph/portal/</x:v>
      </x:c>
      <x:c r="H107" s="26" t="str">
        <x:v>Not publicly specified</x:v>
      </x:c>
      <x:c r="I107" s="26" t="str">
        <x:v>No public API docs; internal multi-subsystem integration is explicitly documented</x:v>
      </x:c>
      <x:c r="J107" s="26" t="str">
        <x:v>Dashboard and manuals available; public bulk export not confirmed</x:v>
      </x:c>
      <x:c r="K107" s="26" t="str">
        <x:v>Multiple subsystems and data sources are explicitly integrated; no public API or source-code repository found</x:v>
      </x:c>
      <x:c r="L107" s="26" t="str">
        <x:v>Field-mobile use documented; offline synchronization not confirmed</x:v>
      </x:c>
      <x:c r="M107" s="26" t="str">
        <x:v>Government registry, credential or linked program identity is central</x:v>
      </x:c>
      <x:c r="N107" s="26" t="str">
        <x:v>Seed certification and linked subsystem processes are defined; machine schemas are not public</x:v>
      </x:c>
      <x:c r="O107" s="30" t="n">
        <x:v>3</x:v>
      </x:c>
      <x:c r="P107" s="26" t="str">
        <x:v>Medium–Low for governed exchange; public implementation details remain limited</x:v>
      </x:c>
      <x:c r="Q107" s="26" t="str">
        <x:v>Governed connector/API or scheduled exchange with shared IDs, metadata and audit logs</x:v>
      </x:c>
      <x:c r="R107" s="26" t="str">
        <x:v>Confirm architecture, owner/maintainer, source escrow or release policy, license, API specification, authentication, data model, export/import, security testing, privacy impact, uptime/SLA, backups and exit plan.</x:v>
      </x:c>
      <x:c r="S107" s="32" t="str">
        <x:v>https://rsis.philrice.gov.ph/portal/</x:v>
      </x:c>
      <x:c r="T107" s="32" t="str">
        <x:v>https://www.philrice.gov.ph/da-philrice-bpi-roll-out-enhanced-rice-seed-information-system-nationwide/</x:v>
      </x:c>
      <x:c r="U107" s="26" t="str">
        <x:v>2026-07-13</x:v>
      </x:c>
    </x:row>
    <x:row r="108" ht="58" customHeight="1">
      <x:c r="A108" s="26" t="str">
        <x:v>D2-104</x:v>
      </x:c>
      <x:c r="B108" s="26" t="str">
        <x:v>RSIS GrowApp / Application for Seed Certification</x:v>
      </x:c>
      <x:c r="C108" s="26" t="str">
        <x:v>BPI-NSQCS and DA-PhilRice under RSIS</x:v>
      </x:c>
      <x:c r="D108" s="26" t="str">
        <x:v>Android app / APK and RSIS subsystem</x:v>
      </x:c>
      <x:c r="E108" s="26" t="str">
        <x:v>Public app listing or binary/APK; application source not located</x:v>
      </x:c>
      <x:c r="F108" s="26" t="str">
        <x:v>No official public repository located</x:v>
      </x:c>
      <x:c r="G108" s="26" t="str">
        <x:v>https://rsis.philrice.gov.ph/portal/downloads</x:v>
      </x:c>
      <x:c r="H108" s="26" t="str">
        <x:v>Not publicly specified</x:v>
      </x:c>
      <x:c r="I108" s="26" t="str">
        <x:v>No public API docs; operates as an RSIS subsystem</x:v>
      </x:c>
      <x:c r="J108" s="26" t="str">
        <x:v>Subsystem exchange is evident; external export not documented</x:v>
      </x:c>
      <x:c r="K108" s="26" t="str">
        <x:v>Integrated with RSIS; APK is public, but source code, API documentation and license are not</x:v>
      </x:c>
      <x:c r="L108" s="26" t="str">
        <x:v>Offline capability documented</x:v>
      </x:c>
      <x:c r="M108" s="26" t="str">
        <x:v>Government registry, credential or linked program identity is central</x:v>
      </x:c>
      <x:c r="N108" s="26" t="str">
        <x:v>No public data schema or conformance standard located</x:v>
      </x:c>
      <x:c r="O108" s="30" t="n">
        <x:v>2</x:v>
      </x:c>
      <x:c r="P108" s="26" t="str">
        <x:v>Medium; internal integration exists but external portability is unproven</x:v>
      </x:c>
      <x:c r="Q108" s="26" t="str">
        <x:v>Governed connector/API or scheduled exchange with shared IDs, metadata and audit logs</x:v>
      </x:c>
      <x:c r="R108" s="26" t="str">
        <x:v>Confirm architecture, owner/maintainer, source escrow or release policy, license, API specification, authentication, data model, export/import, security testing, privacy impact, uptime/SLA, backups and exit plan.</x:v>
      </x:c>
      <x:c r="S108" s="32" t="str">
        <x:v>https://rsis.philrice.gov.ph/portal/downloads</x:v>
      </x:c>
      <x:c r="T108" s="32" t="str">
        <x:v>https://rsis.philrice.gov.ph/portal/</x:v>
      </x:c>
      <x:c r="U108" s="26" t="str">
        <x:v>2026-07-13</x:v>
      </x:c>
    </x:row>
    <x:row r="109" ht="58" customHeight="1">
      <x:c r="A109" s="26" t="str">
        <x:v>D2-105</x:v>
      </x:c>
      <x:c r="B109" s="26" t="str">
        <x:v>RSIS Seed Inspector Application</x:v>
      </x:c>
      <x:c r="C109" s="26" t="str">
        <x:v>BPI-NSQCS and DA-PhilRice under RSIS</x:v>
      </x:c>
      <x:c r="D109" s="26" t="str">
        <x:v>Mobile/field application and RSIS subsystem</x:v>
      </x:c>
      <x:c r="E109" s="26" t="str">
        <x:v>Public web/service interface; source code not publicly located</x:v>
      </x:c>
      <x:c r="F109" s="26" t="str">
        <x:v>No official public repository located</x:v>
      </x:c>
      <x:c r="G109" s="26" t="str">
        <x:v>https://rsis.philrice.gov.ph/portal/dashboard</x:v>
      </x:c>
      <x:c r="H109" s="26" t="str">
        <x:v>Not publicly specified</x:v>
      </x:c>
      <x:c r="I109" s="26" t="str">
        <x:v>No public API docs; operates as an RSIS subsystem</x:v>
      </x:c>
      <x:c r="J109" s="26" t="str">
        <x:v>Subsystem exchange is evident; external export not documented</x:v>
      </x:c>
      <x:c r="K109" s="26" t="str">
        <x:v>Internal RSIS integration is documented; public source, APIs and export formats are not</x:v>
      </x:c>
      <x:c r="L109" s="26" t="str">
        <x:v>Offline capability documented</x:v>
      </x:c>
      <x:c r="M109" s="26" t="str">
        <x:v>Government registry, credential or linked program identity is central</x:v>
      </x:c>
      <x:c r="N109" s="26" t="str">
        <x:v>No public data schema or conformance standard located</x:v>
      </x:c>
      <x:c r="O109" s="30" t="n">
        <x:v>2</x:v>
      </x:c>
      <x:c r="P109" s="26" t="str">
        <x:v>Medium; internal integration exists but external portability is unproven</x:v>
      </x:c>
      <x:c r="Q109" s="26" t="str">
        <x:v>Governed connector/API or scheduled exchange with shared IDs, metadata and audit logs</x:v>
      </x:c>
      <x:c r="R109" s="26" t="str">
        <x:v>Confirm architecture, owner/maintainer, source escrow or release policy, license, API specification, authentication, data model, export/import, security testing, privacy impact, uptime/SLA, backups and exit plan.</x:v>
      </x:c>
      <x:c r="S109" s="32" t="str">
        <x:v>https://rsis.philrice.gov.ph/portal/dashboard</x:v>
      </x:c>
      <x:c r="T109" s="32" t="str">
        <x:v>https://rsis.philrice.gov.ph/portal/</x:v>
      </x:c>
      <x:c r="U109" s="26" t="str">
        <x:v>2026-07-13</x:v>
      </x:c>
    </x:row>
    <x:row r="110" ht="58" customHeight="1">
      <x:c r="A110" s="26" t="str">
        <x:v>D2-106</x:v>
      </x:c>
      <x:c r="B110" s="26" t="str">
        <x:v>RSIS Warehouse Online System</x:v>
      </x:c>
      <x:c r="C110" s="26" t="str">
        <x:v>Department of Agriculture partners under RSIS</x:v>
      </x:c>
      <x:c r="D110" s="26" t="str">
        <x:v>Web subsystem and database</x:v>
      </x:c>
      <x:c r="E110" s="26" t="str">
        <x:v>Public web/service interface; source code not publicly located</x:v>
      </x:c>
      <x:c r="F110" s="26" t="str">
        <x:v>No official public repository located</x:v>
      </x:c>
      <x:c r="G110" s="26" t="str">
        <x:v>https://rsis.philrice.gov.ph/portal/dashboard</x:v>
      </x:c>
      <x:c r="H110" s="26" t="str">
        <x:v>Not publicly specified</x:v>
      </x:c>
      <x:c r="I110" s="26" t="str">
        <x:v>No public API docs; operates as an RSIS subsystem</x:v>
      </x:c>
      <x:c r="J110" s="26" t="str">
        <x:v>Subsystem exchange is evident; external export not documented</x:v>
      </x:c>
      <x:c r="K110" s="26" t="str">
        <x:v>Integrated into RSIS; no public API, source code or machine-readable export documentation found</x:v>
      </x:c>
      <x:c r="L110" s="26" t="str">
        <x:v>Not documented</x:v>
      </x:c>
      <x:c r="M110" s="26" t="str">
        <x:v>Government registry, credential or linked program identity is central</x:v>
      </x:c>
      <x:c r="N110" s="26" t="str">
        <x:v>No public data schema or conformance standard located</x:v>
      </x:c>
      <x:c r="O110" s="30" t="n">
        <x:v>2</x:v>
      </x:c>
      <x:c r="P110" s="26" t="str">
        <x:v>Medium; internal integration exists but external portability is unproven</x:v>
      </x:c>
      <x:c r="Q110" s="26" t="str">
        <x:v>Governed connector/API or scheduled exchange with shared IDs, metadata and audit logs</x:v>
      </x:c>
      <x:c r="R110" s="26" t="str">
        <x:v>Confirm architecture, owner/maintainer, source escrow or release policy, license, API specification, authentication, data model, export/import, security testing, privacy impact, uptime/SLA, backups and exit plan.</x:v>
      </x:c>
      <x:c r="S110" s="32" t="str">
        <x:v>https://rsis.philrice.gov.ph/portal/dashboard</x:v>
      </x:c>
      <x:c r="T110" s="32" t="str">
        <x:v>https://rsis.philrice.gov.ph/portal/</x:v>
      </x:c>
      <x:c r="U110" s="26" t="str">
        <x:v>2026-07-13</x:v>
      </x:c>
    </x:row>
    <x:row r="111" ht="58" customHeight="1">
      <x:c r="A111" s="26" t="str">
        <x:v>D2-107</x:v>
      </x:c>
      <x:c r="B111" s="26" t="str">
        <x:v>RSIS Online Seed Ordering System</x:v>
      </x:c>
      <x:c r="C111" s="26" t="str">
        <x:v>Department of Agriculture partners under RSIS</x:v>
      </x:c>
      <x:c r="D111" s="26" t="str">
        <x:v>Web ordering subsystem</x:v>
      </x:c>
      <x:c r="E111" s="26" t="str">
        <x:v>Public web/service interface; source code not publicly located</x:v>
      </x:c>
      <x:c r="F111" s="26" t="str">
        <x:v>No official public repository located</x:v>
      </x:c>
      <x:c r="G111" s="26" t="str">
        <x:v>https://rsis.philrice.gov.ph/portal/</x:v>
      </x:c>
      <x:c r="H111" s="26" t="str">
        <x:v>Not publicly specified</x:v>
      </x:c>
      <x:c r="I111" s="26" t="str">
        <x:v>No public API docs; operates as an RSIS subsystem</x:v>
      </x:c>
      <x:c r="J111" s="26" t="str">
        <x:v>Subsystem exchange is evident; external export not documented</x:v>
      </x:c>
      <x:c r="K111" s="26" t="str">
        <x:v>Part of RSIS; no public API, source code or order-export specification located</x:v>
      </x:c>
      <x:c r="L111" s="26" t="str">
        <x:v>Not documented</x:v>
      </x:c>
      <x:c r="M111" s="26" t="str">
        <x:v>Government registry, credential or linked program identity is central</x:v>
      </x:c>
      <x:c r="N111" s="26" t="str">
        <x:v>No public data schema or conformance standard located</x:v>
      </x:c>
      <x:c r="O111" s="30" t="n">
        <x:v>2</x:v>
      </x:c>
      <x:c r="P111" s="26" t="str">
        <x:v>Medium; internal integration exists but external portability is unproven</x:v>
      </x:c>
      <x:c r="Q111" s="26" t="str">
        <x:v>Governed connector/API or scheduled exchange with shared IDs, metadata and audit logs</x:v>
      </x:c>
      <x:c r="R111" s="26" t="str">
        <x:v>Confirm architecture, owner/maintainer, source escrow or release policy, license, API specification, authentication, data model, export/import, security testing, privacy impact, uptime/SLA, backups and exit plan.</x:v>
      </x:c>
      <x:c r="S111" s="32" t="str">
        <x:v>https://rsis.philrice.gov.ph/portal/</x:v>
      </x:c>
      <x:c r="T111" s="32" t="str">
        <x:v>https://rsis.philrice.gov.ph/portal/dashboard</x:v>
      </x:c>
      <x:c r="U111" s="26" t="str">
        <x:v>2026-07-13</x:v>
      </x:c>
    </x:row>
    <x:row r="112" ht="58" customHeight="1">
      <x:c r="A112" s="26" t="str">
        <x:v>D2-108</x:v>
      </x:c>
      <x:c r="B112" s="26" t="str">
        <x:v>Rice Development Interventions Monitoring System</x:v>
      </x:c>
      <x:c r="C112" s="26" t="str">
        <x:v>DA-PhilRice / Department of Agriculture</x:v>
      </x:c>
      <x:c r="D112" s="26" t="str">
        <x:v>Web information system and dashboard</x:v>
      </x:c>
      <x:c r="E112" s="26" t="str">
        <x:v>Public web/service interface; source code not publicly located</x:v>
      </x:c>
      <x:c r="F112" s="26" t="str">
        <x:v>No official public repository located</x:v>
      </x:c>
      <x:c r="G112" s="26" t="str">
        <x:v>https://ricedims.philrice.gov.ph/</x:v>
      </x:c>
      <x:c r="H112" s="26" t="str">
        <x:v>Not publicly specified</x:v>
      </x:c>
      <x:c r="I112" s="26" t="str">
        <x:v>No public API documentation located</x:v>
      </x:c>
      <x:c r="J112" s="26" t="str">
        <x:v>No machine-readable export specification located</x:v>
      </x:c>
      <x:c r="K112" s="26" t="str">
        <x:v>Web access is public; no official source repository, API or export documentation identified</x:v>
      </x:c>
      <x:c r="L112" s="26" t="str">
        <x:v>Not documented</x:v>
      </x:c>
      <x:c r="M112" s="26" t="str">
        <x:v>No explicit shared-identity integration documented</x:v>
      </x:c>
      <x:c r="N112" s="26" t="str">
        <x:v>No public data schema or conformance standard located</x:v>
      </x:c>
      <x:c r="O112" s="30" t="n">
        <x:v>1</x:v>
      </x:c>
      <x:c r="P112" s="26" t="str">
        <x:v>High unless export, API access and data rights are established</x:v>
      </x:c>
      <x:c r="Q112" s="26" t="str">
        <x:v>Catalog + deep link/referral; require API/export roadmap before deeper SINAG integration</x:v>
      </x:c>
      <x:c r="R112" s="26" t="str">
        <x:v>Confirm architecture, owner/maintainer, source escrow or release policy, license, API specification, authentication, data model, export/import, security testing, privacy impact, uptime/SLA, backups and exit plan.</x:v>
      </x:c>
      <x:c r="S112" s="32" t="str">
        <x:v>https://ricedims.philrice.gov.ph/</x:v>
      </x:c>
      <x:c r="T112" s="32" t="str">
        <x:v>https://www.philrice.gov.ph/rice-apps/</x:v>
      </x:c>
      <x:c r="U112" s="26" t="str">
        <x:v>2026-07-13</x:v>
      </x:c>
    </x:row>
    <x:row r="113" ht="58" customHeight="1">
      <x:c r="A113" s="26" t="str">
        <x:v>D2-109</x:v>
      </x:c>
      <x:c r="B113" s="26" t="str">
        <x:v>Oryza GEMS / GeneLytics</x:v>
      </x:c>
      <x:c r="C113" s="26" t="str">
        <x:v>DA-PhilRice and rice germplasm partners</x:v>
      </x:c>
      <x:c r="D113" s="26" t="str">
        <x:v>Web analytics platform and linked germplasm databases</x:v>
      </x:c>
      <x:c r="E113" s="26" t="str">
        <x:v>Public web/service interface; source code not publicly located</x:v>
      </x:c>
      <x:c r="F113" s="26" t="str">
        <x:v>No official public repository located</x:v>
      </x:c>
      <x:c r="G113" s="26" t="str">
        <x:v>https://genelytics.philrice.gov.ph/</x:v>
      </x:c>
      <x:c r="H113" s="26" t="str">
        <x:v>Not publicly specified</x:v>
      </x:c>
      <x:c r="I113" s="26" t="str">
        <x:v>No public API documentation located</x:v>
      </x:c>
      <x:c r="J113" s="26" t="str">
        <x:v>Interactive germplasm analysis is public; formal bulk-export/API terms not confirmed</x:v>
      </x:c>
      <x:c r="K113" s="26" t="str">
        <x:v>Linked germplasm data are evident; API and source-code documentation were not located publicly</x:v>
      </x:c>
      <x:c r="L113" s="26" t="str">
        <x:v>Not documented</x:v>
      </x:c>
      <x:c r="M113" s="26" t="str">
        <x:v>No explicit shared-identity integration documented</x:v>
      </x:c>
      <x:c r="N113" s="26" t="str">
        <x:v>No public data schema or conformance standard located</x:v>
      </x:c>
      <x:c r="O113" s="30" t="n">
        <x:v>2</x:v>
      </x:c>
      <x:c r="P113" s="26" t="str">
        <x:v>Medium; internal integration exists but external portability is unproven</x:v>
      </x:c>
      <x:c r="Q113" s="26" t="str">
        <x:v>Selective data feed or embedded service after technical and legal validation</x:v>
      </x:c>
      <x:c r="R113" s="26" t="str">
        <x:v>Confirm architecture, owner/maintainer, source escrow or release policy, license, API specification, authentication, data model, export/import, security testing, privacy impact, uptime/SLA, backups and exit plan.</x:v>
      </x:c>
      <x:c r="S113" s="32" t="str">
        <x:v>https://genelytics.philrice.gov.ph/</x:v>
      </x:c>
      <x:c r="T113" s="32" t="str">
        <x:v>https://www.philrice.gov.ph/rice-apps/</x:v>
      </x:c>
      <x:c r="U113" s="26" t="str">
        <x:v>2026-07-13</x:v>
      </x:c>
    </x:row>
    <x:row r="114" ht="58" customHeight="1">
      <x:c r="A114" s="26" t="str">
        <x:v>D2-110</x:v>
      </x:c>
      <x:c r="B114" s="26" t="str">
        <x:v>Bantay Palay Mobile and SMS Price Advisory System</x:v>
      </x:c>
      <x:c r="C114" s="26" t="str">
        <x:v>DA-PhilRice and National Food Authority</x:v>
      </x:c>
      <x:c r="D114" s="26" t="str">
        <x:v>Mobile data collection, validation and SMS advisories</x:v>
      </x:c>
      <x:c r="E114" s="26" t="str">
        <x:v>Public web/service interface; source code not publicly located</x:v>
      </x:c>
      <x:c r="F114" s="26" t="str">
        <x:v>No official public repository located</x:v>
      </x:c>
      <x:c r="G114" s="26" t="str">
        <x:v>https://www.philrice.gov.ph/new-mobile-app-helps-farmers-determine-fair-palay-prices/</x:v>
      </x:c>
      <x:c r="H114" s="26" t="str">
        <x:v>Not publicly specified</x:v>
      </x:c>
      <x:c r="I114" s="26" t="str">
        <x:v>No public API documentation located</x:v>
      </x:c>
      <x:c r="J114" s="26" t="str">
        <x:v>No machine-readable export specification located</x:v>
      </x:c>
      <x:c r="K114" s="26" t="str">
        <x:v>RSBSA-linked farmer messaging is documented; public API, source code and data exports are not</x:v>
      </x:c>
      <x:c r="L114" s="26" t="str">
        <x:v>Low-bandwidth SMS/text delivery documented</x:v>
      </x:c>
      <x:c r="M114" s="26" t="str">
        <x:v>RSBSA/farmer identity linkage is described</x:v>
      </x:c>
      <x:c r="N114" s="26" t="str">
        <x:v>No public data schema or conformance standard located</x:v>
      </x:c>
      <x:c r="O114" s="30" t="n">
        <x:v>1</x:v>
      </x:c>
      <x:c r="P114" s="26" t="str">
        <x:v>High unless export, API access and data rights are established</x:v>
      </x:c>
      <x:c r="Q114" s="26" t="str">
        <x:v>Catalog + deep link/referral; require API/export roadmap before deeper SINAG integration</x:v>
      </x:c>
      <x:c r="R114" s="26" t="str">
        <x:v>Confirm architecture, owner/maintainer, source escrow or release policy, license, API specification, authentication, data model, export/import, security testing, privacy impact, uptime/SLA, backups and exit plan.</x:v>
      </x:c>
      <x:c r="S114" s="32" t="str">
        <x:v>https://www.philrice.gov.ph/new-mobile-app-helps-farmers-determine-fair-palay-prices/</x:v>
      </x:c>
      <x:c r="T114" s="32" t="str">
        <x:v>https://www.philrice.gov.ph/philrice-nfa-partner-to-expand-bantay-palay-nationwide/</x:v>
      </x:c>
      <x:c r="U114" s="26" t="str">
        <x:v>2026-07-13</x:v>
      </x:c>
    </x:row>
    <x:row r="115" ht="58" customHeight="1">
      <x:c r="A115" s="26" t="str">
        <x:v>D2-111</x:v>
      </x:c>
      <x:c r="B115" s="26" t="str">
        <x:v>RiceLytics Mobile</x:v>
      </x:c>
      <x:c r="C115" s="26" t="str">
        <x:v>DA-PhilRice</x:v>
      </x:c>
      <x:c r="D115" s="26" t="str">
        <x:v>Mobile application</x:v>
      </x:c>
      <x:c r="E115" s="26" t="str">
        <x:v>Public web/service interface; source code not publicly located</x:v>
      </x:c>
      <x:c r="F115" s="26" t="str">
        <x:v>No official public repository located</x:v>
      </x:c>
      <x:c r="G115" s="26" t="str">
        <x:v>https://www.philrice.gov.ph/ricelytics-mobile-app-launched/</x:v>
      </x:c>
      <x:c r="H115" s="26" t="str">
        <x:v>Not publicly specified</x:v>
      </x:c>
      <x:c r="I115" s="26" t="str">
        <x:v>No public API documentation located</x:v>
      </x:c>
      <x:c r="J115" s="26" t="str">
        <x:v>Public data/visualization access exists; stable API and bulk-export specification not confirmed</x:v>
      </x:c>
      <x:c r="K115" s="26" t="str">
        <x:v>Likely shares RiceLytics data, but public source, API and data-export documentation were not found</x:v>
      </x:c>
      <x:c r="L115" s="26" t="str">
        <x:v>Not documented</x:v>
      </x:c>
      <x:c r="M115" s="26" t="str">
        <x:v>No explicit shared-identity integration documented</x:v>
      </x:c>
      <x:c r="N115" s="26" t="str">
        <x:v>No public data schema or conformance standard located</x:v>
      </x:c>
      <x:c r="O115" s="30" t="n">
        <x:v>1</x:v>
      </x:c>
      <x:c r="P115" s="26" t="str">
        <x:v>High unless export, API access and data rights are established</x:v>
      </x:c>
      <x:c r="Q115" s="26" t="str">
        <x:v>Catalog/referral or watchlist pending status and portability validation</x:v>
      </x:c>
      <x:c r="R115" s="26" t="str">
        <x:v>Confirm architecture, owner/maintainer, source escrow or release policy, license, API specification, authentication, data model, export/import, security testing, privacy impact, uptime/SLA, backups and exit plan.</x:v>
      </x:c>
      <x:c r="S115" s="32" t="str">
        <x:v>https://www.philrice.gov.ph/ricelytics-mobile-app-launched/</x:v>
      </x:c>
      <x:c r="T115" s="32" t="str">
        <x:v>https://ricelytics.philrice.gov.ph/</x:v>
      </x:c>
      <x:c r="U115" s="26" t="str">
        <x:v>2026-07-13</x:v>
      </x:c>
    </x:row>
    <x:row r="116" ht="58" customHeight="1">
      <x:c r="A116" s="26" t="str">
        <x:v>D2-112</x:v>
      </x:c>
      <x:c r="B116" s="26" t="str">
        <x:v>Pal ai Rice Knowledge Assistant</x:v>
      </x:c>
      <x:c r="C116" s="26" t="str">
        <x:v>DA-PhilRice</x:v>
      </x:c>
      <x:c r="D116" s="26" t="str">
        <x:v>Chatbot integrated into PhilRice social-media channels; modular AI architecture</x:v>
      </x:c>
      <x:c r="E116" s="26" t="str">
        <x:v>Public web/service interface; source code not publicly located</x:v>
      </x:c>
      <x:c r="F116" s="26" t="str">
        <x:v>No official public repository located</x:v>
      </x:c>
      <x:c r="G116" s="26" t="str">
        <x:v>https://www.philrice.gov.ph/philrice-builds-ai-ecosystem-for-smarter-rice-farming/</x:v>
      </x:c>
      <x:c r="H116" s="26" t="str">
        <x:v>Not publicly specified</x:v>
      </x:c>
      <x:c r="I116" s="26" t="str">
        <x:v>Modular integration backbone described; no public service/API documentation located</x:v>
      </x:c>
      <x:c r="J116" s="26" t="str">
        <x:v>Knowledge sources and conversation export are not publicly specified</x:v>
      </x:c>
      <x:c r="K116" s="26" t="str">
        <x:v>A modular integration backbone is described, but no public API, model card, source repository or evaluation set was found</x:v>
      </x:c>
      <x:c r="L116" s="26" t="str">
        <x:v>Offline capability documented</x:v>
      </x:c>
      <x:c r="M116" s="26" t="str">
        <x:v>No explicit shared-identity integration documented</x:v>
      </x:c>
      <x:c r="N116" s="26" t="str">
        <x:v>No public data schema or conformance standard located</x:v>
      </x:c>
      <x:c r="O116" s="30" t="n">
        <x:v>2</x:v>
      </x:c>
      <x:c r="P116" s="26" t="str">
        <x:v>Medium; internal integration exists but external portability is unproven</x:v>
      </x:c>
      <x:c r="Q116" s="26" t="str">
        <x:v>Governed connector/API or scheduled exchange with shared IDs, metadata and audit logs</x:v>
      </x:c>
      <x:c r="R116" s="26" t="str">
        <x:v>Confirm architecture, owner/maintainer, source escrow or release policy, license, API specification, authentication, data model, export/import, security testing, privacy impact, uptime/SLA, backups and exit plan.</x:v>
      </x:c>
      <x:c r="S116" s="32" t="str">
        <x:v>https://www.philrice.gov.ph/philrice-builds-ai-ecosystem-for-smarter-rice-farming/</x:v>
      </x:c>
      <x:c r="T116" s="32" t="str">
        <x:v>https://www.philrice.gov.ph/rice-apps/</x:v>
      </x:c>
      <x:c r="U116" s="26" t="str">
        <x:v>2026-07-13</x:v>
      </x:c>
    </x:row>
    <x:row r="117" ht="58" customHeight="1">
      <x:c r="A117" s="26" t="str">
        <x:v>D2-113</x:v>
      </x:c>
      <x:c r="B117" s="26" t="str">
        <x:v>ePaalala Rice Advisory System</x:v>
      </x:c>
      <x:c r="C117" s="26" t="str">
        <x:v>DA-PhilRice</x:v>
      </x:c>
      <x:c r="D117" s="26" t="str">
        <x:v>Mobile/SMS advisory concept</x:v>
      </x:c>
      <x:c r="E117" s="26" t="str">
        <x:v>Public web/service interface; source code not publicly located</x:v>
      </x:c>
      <x:c r="F117" s="26" t="str">
        <x:v>No official public repository located</x:v>
      </x:c>
      <x:c r="G117" s="26" t="str">
        <x:v>https://www.philrice.gov.ph/philrice-digital-transformation/</x:v>
      </x:c>
      <x:c r="H117" s="26" t="str">
        <x:v>Not publicly specified</x:v>
      </x:c>
      <x:c r="I117" s="26" t="str">
        <x:v>No public API documentation located</x:v>
      </x:c>
      <x:c r="J117" s="26" t="str">
        <x:v>No machine-readable export specification located</x:v>
      </x:c>
      <x:c r="K117" s="26" t="str">
        <x:v>No current operational page, public API or code repository was located</x:v>
      </x:c>
      <x:c r="L117" s="26" t="str">
        <x:v>Low-bandwidth SMS/text delivery documented</x:v>
      </x:c>
      <x:c r="M117" s="26" t="str">
        <x:v>No explicit shared-identity integration documented</x:v>
      </x:c>
      <x:c r="N117" s="26" t="str">
        <x:v>No public data schema or conformance standard located</x:v>
      </x:c>
      <x:c r="O117" s="30" t="n">
        <x:v>1</x:v>
      </x:c>
      <x:c r="P117" s="26" t="str">
        <x:v>High unless export, API access and data rights are established</x:v>
      </x:c>
      <x:c r="Q117" s="26" t="str">
        <x:v>Catalog/referral or watchlist pending status and portability validation</x:v>
      </x:c>
      <x:c r="R117" s="26" t="str">
        <x:v>Confirm architecture, owner/maintainer, source escrow or release policy, license, API specification, authentication, data model, export/import, security testing, privacy impact, uptime/SLA, backups and exit plan.</x:v>
      </x:c>
      <x:c r="S117" s="32" t="str">
        <x:v>https://www.philrice.gov.ph/philrice-digital-transformation/</x:v>
      </x:c>
      <x:c r="T117" s="32" t="str"/>
      <x:c r="U117" s="26" t="str">
        <x:v>2026-07-13</x:v>
      </x:c>
    </x:row>
    <x:row r="118" ht="58" customHeight="1">
      <x:c r="A118" s="26" t="str">
        <x:v>D2-114</x:v>
      </x:c>
      <x:c r="B118" s="26" t="str">
        <x:v>PhilRice Text Center / INFOTXT and E-INFO</x:v>
      </x:c>
      <x:c r="C118" s="26" t="str">
        <x:v>DA-PhilRice</x:v>
      </x:c>
      <x:c r="D118" s="26" t="str">
        <x:v>SMS, text center and electronic information services</x:v>
      </x:c>
      <x:c r="E118" s="26" t="str">
        <x:v>Public web/service interface; source code not publicly located</x:v>
      </x:c>
      <x:c r="F118" s="26" t="str">
        <x:v>No official public repository located</x:v>
      </x:c>
      <x:c r="G118" s="26" t="str">
        <x:v>https://www.philrice.gov.ph/rice-apps/</x:v>
      </x:c>
      <x:c r="H118" s="26" t="str">
        <x:v>Not publicly specified</x:v>
      </x:c>
      <x:c r="I118" s="26" t="str">
        <x:v>No public API documentation located</x:v>
      </x:c>
      <x:c r="J118" s="26" t="str">
        <x:v>No machine-readable export specification located</x:v>
      </x:c>
      <x:c r="K118" s="26" t="str">
        <x:v>No public API or source code; interoperability would be through case/referral and knowledge services</x:v>
      </x:c>
      <x:c r="L118" s="26" t="str">
        <x:v>Low-bandwidth SMS/text delivery documented</x:v>
      </x:c>
      <x:c r="M118" s="26" t="str">
        <x:v>No explicit shared-identity integration documented</x:v>
      </x:c>
      <x:c r="N118" s="26" t="str">
        <x:v>No public data schema or conformance standard located</x:v>
      </x:c>
      <x:c r="O118" s="30" t="n">
        <x:v>1</x:v>
      </x:c>
      <x:c r="P118" s="26" t="str">
        <x:v>High unless export, API access and data rights are established</x:v>
      </x:c>
      <x:c r="Q118" s="26" t="str">
        <x:v>Catalog/referral or watchlist pending status and portability validation</x:v>
      </x:c>
      <x:c r="R118" s="26" t="str">
        <x:v>Confirm architecture, owner/maintainer, source escrow or release policy, license, API specification, authentication, data model, export/import, security testing, privacy impact, uptime/SLA, backups and exit plan.</x:v>
      </x:c>
      <x:c r="S118" s="32" t="str">
        <x:v>https://www.philrice.gov.ph/rice-apps/</x:v>
      </x:c>
      <x:c r="T118" s="32" t="str">
        <x:v>https://www.philrice.gov.ph/philrice-digital-transformation/</x:v>
      </x:c>
      <x:c r="U118" s="26" t="str">
        <x:v>2026-07-13</x:v>
      </x:c>
    </x:row>
    <x:row r="119" ht="58" customHeight="1">
      <x:c r="A119" s="26" t="str">
        <x:v>D2-115</x:v>
      </x:c>
      <x:c r="B119" s="26" t="str">
        <x:v>Open Academy for Philippine Agriculture</x:v>
      </x:c>
      <x:c r="C119" s="26" t="str">
        <x:v>DA-PhilRice and partners</x:v>
      </x:c>
      <x:c r="D119" s="26" t="str">
        <x:v>Web learning and information platform</x:v>
      </x:c>
      <x:c r="E119" s="26" t="str">
        <x:v>Public web/service interface; source code not publicly located</x:v>
      </x:c>
      <x:c r="F119" s="26" t="str">
        <x:v>No official public repository located</x:v>
      </x:c>
      <x:c r="G119" s="26" t="str">
        <x:v>https://www.philrice.gov.ph/philrice-digital-transformation/</x:v>
      </x:c>
      <x:c r="H119" s="26" t="str">
        <x:v>Not publicly specified</x:v>
      </x:c>
      <x:c r="I119" s="26" t="str">
        <x:v>No public API documentation located</x:v>
      </x:c>
      <x:c r="J119" s="26" t="str">
        <x:v>No machine-readable export specification located</x:v>
      </x:c>
      <x:c r="K119" s="26" t="str">
        <x:v>No current public source repository, API or maintained-service evidence located</x:v>
      </x:c>
      <x:c r="L119" s="26" t="str">
        <x:v>Not documented</x:v>
      </x:c>
      <x:c r="M119" s="26" t="str">
        <x:v>No explicit shared-identity integration documented</x:v>
      </x:c>
      <x:c r="N119" s="26" t="str">
        <x:v>No public data schema or conformance standard located</x:v>
      </x:c>
      <x:c r="O119" s="30" t="n">
        <x:v>0</x:v>
      </x:c>
      <x:c r="P119" s="26" t="str">
        <x:v>Not assessable / very high transition risk</x:v>
      </x:c>
      <x:c r="Q119" s="26" t="str">
        <x:v>Catalog/referral or watchlist pending status and portability validation</x:v>
      </x:c>
      <x:c r="R119" s="26" t="str">
        <x:v>Confirm architecture, owner/maintainer, source escrow or release policy, license, API specification, authentication, data model, export/import, security testing, privacy impact, uptime/SLA, backups and exit plan.</x:v>
      </x:c>
      <x:c r="S119" s="32" t="str">
        <x:v>https://www.philrice.gov.ph/philrice-digital-transformation/</x:v>
      </x:c>
      <x:c r="T119" s="32" t="str"/>
      <x:c r="U119" s="26" t="str">
        <x:v>2026-07-13</x:v>
      </x:c>
    </x:row>
    <x:row r="120" ht="58" customHeight="1">
      <x:c r="A120" s="26" t="str">
        <x:v>D2-116</x:v>
      </x:c>
      <x:c r="B120" s="26" t="str">
        <x:v>PhilRice Statistical Laboratory Digital Data Service</x:v>
      </x:c>
      <x:c r="C120" s="26" t="str">
        <x:v>DA-PhilRice</x:v>
      </x:c>
      <x:c r="D120" s="26" t="str">
        <x:v>Digital statistical service / analytics support</x:v>
      </x:c>
      <x:c r="E120" s="26" t="str">
        <x:v>Public web/service interface; source code not publicly located</x:v>
      </x:c>
      <x:c r="F120" s="26" t="str">
        <x:v>No official public repository located</x:v>
      </x:c>
      <x:c r="G120" s="26" t="str">
        <x:v>https://www.philrice.gov.ph/philrice-digital-transformation/</x:v>
      </x:c>
      <x:c r="H120" s="26" t="str">
        <x:v>Not publicly specified</x:v>
      </x:c>
      <x:c r="I120" s="26" t="str">
        <x:v>No public API documentation located</x:v>
      </x:c>
      <x:c r="J120" s="26" t="str">
        <x:v>No machine-readable export specification located</x:v>
      </x:c>
      <x:c r="K120" s="26" t="str">
        <x:v>No public code, API or standardized exchange documentation located</x:v>
      </x:c>
      <x:c r="L120" s="26" t="str">
        <x:v>Not documented</x:v>
      </x:c>
      <x:c r="M120" s="26" t="str">
        <x:v>No explicit shared-identity integration documented</x:v>
      </x:c>
      <x:c r="N120" s="26" t="str">
        <x:v>No public data schema or conformance standard located</x:v>
      </x:c>
      <x:c r="O120" s="30" t="n">
        <x:v>1</x:v>
      </x:c>
      <x:c r="P120" s="26" t="str">
        <x:v>High unless export, API access and data rights are established</x:v>
      </x:c>
      <x:c r="Q120" s="26" t="str">
        <x:v>Catalog/referral or watchlist pending status and portability validation</x:v>
      </x:c>
      <x:c r="R120" s="26" t="str">
        <x:v>Confirm architecture, owner/maintainer, source escrow or release policy, license, API specification, authentication, data model, export/import, security testing, privacy impact, uptime/SLA, backups and exit plan.</x:v>
      </x:c>
      <x:c r="S120" s="32" t="str">
        <x:v>https://www.philrice.gov.ph/philrice-digital-transformation/</x:v>
      </x:c>
      <x:c r="T120" s="32" t="str"/>
      <x:c r="U120" s="26" t="str">
        <x:v>2026-07-13</x:v>
      </x:c>
    </x:row>
    <x:row r="121" ht="58" customHeight="1">
      <x:c r="A121" s="26" t="str">
        <x:v>D2-117</x:v>
      </x:c>
      <x:c r="B121" s="26" t="str">
        <x:v>Bantay SARAi Agricultural Monitoring Platform</x:v>
      </x:c>
      <x:c r="C121" s="26" t="str">
        <x:v>UP Los Baños / Project SARAi / DOST-PCAARRD</x:v>
      </x:c>
      <x:c r="D121" s="26" t="str">
        <x:v>Web/mobile data collection and monitoring platform</x:v>
      </x:c>
      <x:c r="E121" s="26" t="str">
        <x:v>Public web/service interface; source code not publicly located</x:v>
      </x:c>
      <x:c r="F121" s="26" t="str">
        <x:v>No official public repository located</x:v>
      </x:c>
      <x:c r="G121" s="26" t="str">
        <x:v>https://www.pcaarrd.dost.gov.ph/index.php/quick-information-dispatch-qid-articles/dost-pcaarrd-supported-r-d-initiatives-showcased-at-iscene-2024s-breakout-sessions</x:v>
      </x:c>
      <x:c r="H121" s="26" t="str">
        <x:v>Not publicly specified</x:v>
      </x:c>
      <x:c r="I121" s="26" t="str">
        <x:v>No public API documentation located</x:v>
      </x:c>
      <x:c r="J121" s="26" t="str">
        <x:v>No machine-readable export specification located</x:v>
      </x:c>
      <x:c r="K121" s="26" t="str">
        <x:v>Multi-source monitoring is described; no public API, source repository or schema documentation located</x:v>
      </x:c>
      <x:c r="L121" s="26" t="str">
        <x:v>Not documented</x:v>
      </x:c>
      <x:c r="M121" s="26" t="str">
        <x:v>No explicit shared-identity integration documented</x:v>
      </x:c>
      <x:c r="N121" s="26" t="str">
        <x:v>No public data schema or conformance standard located</x:v>
      </x:c>
      <x:c r="O121" s="30" t="n">
        <x:v>2</x:v>
      </x:c>
      <x:c r="P121" s="26" t="str">
        <x:v>Medium; internal integration exists but external portability is unproven</x:v>
      </x:c>
      <x:c r="Q121" s="26" t="str">
        <x:v>Governed connector/API or scheduled exchange with shared IDs, metadata and audit logs</x:v>
      </x:c>
      <x:c r="R121" s="26" t="str">
        <x:v>Confirm architecture, owner/maintainer, source escrow or release policy, license, API specification, authentication, data model, export/import, security testing, privacy impact, uptime/SLA, backups and exit plan.</x:v>
      </x:c>
      <x:c r="S121" s="32" t="str">
        <x:v>https://www.pcaarrd.dost.gov.ph/index.php/quick-information-dispatch-qid-articles/dost-pcaarrd-supported-r-d-initiatives-showcased-at-iscene-2024s-breakout-sessions</x:v>
      </x:c>
      <x:c r="T121" s="32" t="str">
        <x:v>https://sarai.ph/</x:v>
      </x:c>
      <x:c r="U121" s="26" t="str">
        <x:v>2026-07-13</x:v>
      </x:c>
    </x:row>
    <x:row r="122" ht="58" customHeight="1">
      <x:c r="A122" s="26" t="str">
        <x:v>D2-118</x:v>
      </x:c>
      <x:c r="B122" s="26" t="str">
        <x:v>Community-Level SARAi Enhanced Agricultural Monitoring System</x:v>
      </x:c>
      <x:c r="C122" s="26" t="str">
        <x:v>UP Los Baños / Project SARAi / DOST-PCAARRD</x:v>
      </x:c>
      <x:c r="D122" s="26" t="str">
        <x:v>QGIS, Google Earth Engine, free satellite data and GIS workflows</x:v>
      </x:c>
      <x:c r="E122" s="26" t="str">
        <x:v>Uses open-source QGIS and open/free EO services; custom workflow source not located</x:v>
      </x:c>
      <x:c r="F122" s="26" t="str">
        <x:v>No official custom repository located</x:v>
      </x:c>
      <x:c r="G122" s="26" t="str">
        <x:v>https://www.pcaarrd.dost.gov.ph/index.php/quick-information-dispatch-qid-articles/dost-pcaarrd-supported-r-d-initiatives-showcased-at-iscene-2024s-breakout-sessions</x:v>
      </x:c>
      <x:c r="H122" s="26" t="str">
        <x:v>Underlying QGIS and EO tools use their respective open licenses; custom application license unknown</x:v>
      </x:c>
      <x:c r="I122" s="26" t="str">
        <x:v>GEE/QGIS interfaces are available, but no public CL-SEAMS API documentation located</x:v>
      </x:c>
      <x:c r="J122" s="26" t="str">
        <x:v>GIS layers can be portable in principle; project export workflow not documented</x:v>
      </x:c>
      <x:c r="K122" s="26" t="str">
        <x:v>Underlying QGIS and satellite components are open; application workflows/source repository were not located</x:v>
      </x:c>
      <x:c r="L122" s="26" t="str">
        <x:v>Not documented</x:v>
      </x:c>
      <x:c r="M122" s="26" t="str">
        <x:v>No explicit shared-identity integration documented</x:v>
      </x:c>
      <x:c r="N122" s="26" t="str">
        <x:v>Geospatial exchange is relevant; CRS, metadata and service standards are not publicly documented</x:v>
      </x:c>
      <x:c r="O122" s="30" t="n">
        <x:v>2</x:v>
      </x:c>
      <x:c r="P122" s="26" t="str">
        <x:v>Medium; internal integration exists but external portability is unproven</x:v>
      </x:c>
      <x:c r="Q122" s="26" t="str">
        <x:v>Governed connector/API or scheduled exchange with shared IDs, metadata and audit logs</x:v>
      </x:c>
      <x:c r="R122" s="26" t="str">
        <x:v>Confirm architecture, owner/maintainer, source escrow or release policy, license, API specification, authentication, data model, export/import, security testing, privacy impact, uptime/SLA, backups and exit plan.</x:v>
      </x:c>
      <x:c r="S122" s="32" t="str">
        <x:v>https://www.pcaarrd.dost.gov.ph/index.php/quick-information-dispatch-qid-articles/dost-pcaarrd-supported-r-d-initiatives-showcased-at-iscene-2024s-breakout-sessions</x:v>
      </x:c>
      <x:c r="T122" s="32" t="str">
        <x:v>https://sarai.ph/</x:v>
      </x:c>
      <x:c r="U122" s="26" t="str">
        <x:v>2026-07-13</x:v>
      </x:c>
    </x:row>
    <x:row r="123" ht="58" customHeight="1">
      <x:c r="A123" s="26" t="str">
        <x:v>D2-119</x:v>
      </x:c>
      <x:c r="B123" s="26" t="str">
        <x:v>Drought and Crop Assessment and Forecasting</x:v>
      </x:c>
      <x:c r="C123" s="26" t="str">
        <x:v>UP Los Baños / Project SARAi / DOST-PCAARRD</x:v>
      </x:c>
      <x:c r="D123" s="26" t="str">
        <x:v>Climate analytics, crop modelling and geospatial information</x:v>
      </x:c>
      <x:c r="E123" s="26" t="str">
        <x:v>Public web/service interface; source code not publicly located</x:v>
      </x:c>
      <x:c r="F123" s="26" t="str">
        <x:v>No official public repository located</x:v>
      </x:c>
      <x:c r="G123" s="26" t="str">
        <x:v>https://ispweb.pcaarrd.dost.gov.ph/tag/technologies/page/8/</x:v>
      </x:c>
      <x:c r="H123" s="26" t="str">
        <x:v>Not publicly specified</x:v>
      </x:c>
      <x:c r="I123" s="26" t="str">
        <x:v>No public API documentation located</x:v>
      </x:c>
      <x:c r="J123" s="26" t="str">
        <x:v>No machine-readable export specification located</x:v>
      </x:c>
      <x:c r="K123" s="26" t="str">
        <x:v>No current public API, source repository or data-exchange documentation identified</x:v>
      </x:c>
      <x:c r="L123" s="26" t="str">
        <x:v>Not documented</x:v>
      </x:c>
      <x:c r="M123" s="26" t="str">
        <x:v>No explicit shared-identity integration documented</x:v>
      </x:c>
      <x:c r="N123" s="26" t="str">
        <x:v>Geospatial exchange is relevant; CRS, metadata and service standards are not publicly documented</x:v>
      </x:c>
      <x:c r="O123" s="30" t="n">
        <x:v>1</x:v>
      </x:c>
      <x:c r="P123" s="26" t="str">
        <x:v>High unless export, API access and data rights are established</x:v>
      </x:c>
      <x:c r="Q123" s="26" t="str">
        <x:v>Catalog/referral or watchlist pending status and portability validation</x:v>
      </x:c>
      <x:c r="R123" s="26" t="str">
        <x:v>Confirm architecture, owner/maintainer, source escrow or release policy, license, API specification, authentication, data model, export/import, security testing, privacy impact, uptime/SLA, backups and exit plan.</x:v>
      </x:c>
      <x:c r="S123" s="32" t="str">
        <x:v>https://ispweb.pcaarrd.dost.gov.ph/tag/technologies/page/8/</x:v>
      </x:c>
      <x:c r="T123" s="32" t="str">
        <x:v>https://sarai.ph/</x:v>
      </x:c>
      <x:c r="U123" s="26" t="str">
        <x:v>2026-07-13</x:v>
      </x:c>
    </x:row>
    <x:row r="124" ht="58" customHeight="1">
      <x:c r="A124" s="26" t="str">
        <x:v>D2-120</x:v>
      </x:c>
      <x:c r="B124" s="26" t="str">
        <x:v>Water Balance-Assisted Irrigation Scheduler System</x:v>
      </x:c>
      <x:c r="C124" s="26" t="str">
        <x:v>UP Los Baños / Project SARAi / DOST-PCAARRD</x:v>
      </x:c>
      <x:c r="D124" s="26" t="str">
        <x:v>Web/mobile decision support, weather data and soil-moisture inputs</x:v>
      </x:c>
      <x:c r="E124" s="26" t="str">
        <x:v>Public web/service interface; source code not publicly located</x:v>
      </x:c>
      <x:c r="F124" s="26" t="str">
        <x:v>No official public repository located</x:v>
      </x:c>
      <x:c r="G124" s="26" t="str">
        <x:v>https://ispweb.pcaarrd.dost.gov.ph/tag/technologies/page/8/</x:v>
      </x:c>
      <x:c r="H124" s="26" t="str">
        <x:v>Not publicly specified</x:v>
      </x:c>
      <x:c r="I124" s="26" t="str">
        <x:v>No public API documentation located</x:v>
      </x:c>
      <x:c r="J124" s="26" t="str">
        <x:v>No machine-readable export specification located</x:v>
      </x:c>
      <x:c r="K124" s="26" t="str">
        <x:v>Web/mobile and sensor linkages are documented, but no official source repo or public API was found</x:v>
      </x:c>
      <x:c r="L124" s="26" t="str">
        <x:v>Not documented</x:v>
      </x:c>
      <x:c r="M124" s="26" t="str">
        <x:v>No explicit shared-identity integration documented</x:v>
      </x:c>
      <x:c r="N124" s="26" t="str">
        <x:v>No public data schema or conformance standard located</x:v>
      </x:c>
      <x:c r="O124" s="30" t="n">
        <x:v>1</x:v>
      </x:c>
      <x:c r="P124" s="26" t="str">
        <x:v>High unless export, API access and data rights are established</x:v>
      </x:c>
      <x:c r="Q124" s="26" t="str">
        <x:v>Catalog + deep link/referral; require API/export roadmap before deeper SINAG integration</x:v>
      </x:c>
      <x:c r="R124" s="26" t="str">
        <x:v>Confirm architecture, owner/maintainer, source escrow or release policy, license, API specification, authentication, data model, export/import, security testing, privacy impact, uptime/SLA, backups and exit plan.</x:v>
      </x:c>
      <x:c r="S124" s="32" t="str">
        <x:v>https://ispweb.pcaarrd.dost.gov.ph/tag/technologies/page/8/</x:v>
      </x:c>
      <x:c r="T124" s="32" t="str">
        <x:v>https://sarai.ph/</x:v>
      </x:c>
      <x:c r="U124" s="26" t="str">
        <x:v>2026-07-13</x:v>
      </x:c>
    </x:row>
    <x:row r="125" ht="58" customHeight="1">
      <x:c r="A125" s="26" t="str">
        <x:v>D2-121</x:v>
      </x:c>
      <x:c r="B125" s="26" t="str">
        <x:v>SARAi Automatic Weather and Soil Sensor Network</x:v>
      </x:c>
      <x:c r="C125" s="26" t="str">
        <x:v>UP Los Baños / DOST-PCAARRD and regional partners</x:v>
      </x:c>
      <x:c r="D125" s="26" t="str">
        <x:v>AWS, soil sensors, wireless transmission, common database and UAV validation</x:v>
      </x:c>
      <x:c r="E125" s="26" t="str">
        <x:v>Public web/service interface; source code not publicly located</x:v>
      </x:c>
      <x:c r="F125" s="26" t="str">
        <x:v>No official public repository located</x:v>
      </x:c>
      <x:c r="G125" s="26" t="str">
        <x:v>https://sarai.ph/</x:v>
      </x:c>
      <x:c r="H125" s="26" t="str">
        <x:v>Not publicly specified</x:v>
      </x:c>
      <x:c r="I125" s="26" t="str">
        <x:v>No public API documentation located</x:v>
      </x:c>
      <x:c r="J125" s="26" t="str">
        <x:v>No machine-readable export specification located</x:v>
      </x:c>
      <x:c r="K125" s="26" t="str">
        <x:v>Interconnection and common-database objectives are explicit; public APIs and source code were not located</x:v>
      </x:c>
      <x:c r="L125" s="26" t="str">
        <x:v>Not documented</x:v>
      </x:c>
      <x:c r="M125" s="26" t="str">
        <x:v>No explicit shared-identity integration documented</x:v>
      </x:c>
      <x:c r="N125" s="26" t="str">
        <x:v>No public data schema or conformance standard located</x:v>
      </x:c>
      <x:c r="O125" s="30" t="n">
        <x:v>2</x:v>
      </x:c>
      <x:c r="P125" s="26" t="str">
        <x:v>Medium; internal integration exists but external portability is unproven</x:v>
      </x:c>
      <x:c r="Q125" s="26" t="str">
        <x:v>Governed connector/API or scheduled exchange with shared IDs, metadata and audit logs</x:v>
      </x:c>
      <x:c r="R125" s="26" t="str">
        <x:v>Confirm architecture, owner/maintainer, source escrow or release policy, license, API specification, authentication, data model, export/import, security testing, privacy impact, uptime/SLA, backups and exit plan.</x:v>
      </x:c>
      <x:c r="S125" s="32" t="str">
        <x:v>https://sarai.ph/</x:v>
      </x:c>
      <x:c r="T125" s="32" t="str">
        <x:v>https://www.pcaarrd.dost.gov.ph/index.php/quick-information-dispatch-qid-articles/dost-pcaarrd-supported-r-d-initiatives-showcased-at-iscene-2024s-breakout-sessions</x:v>
      </x:c>
      <x:c r="U125" s="26" t="str">
        <x:v>2026-07-13</x:v>
      </x:c>
    </x:row>
    <x:row r="126" ht="58" customHeight="1">
      <x:c r="A126" s="26" t="str">
        <x:v>D2-122</x:v>
      </x:c>
      <x:c r="B126" s="26" t="str">
        <x:v>SARAi Insect Pest and Disease Advisory System</x:v>
      </x:c>
      <x:c r="C126" s="26" t="str">
        <x:v>UP Los Baños / Project SARAi / DOST-PCAARRD</x:v>
      </x:c>
      <x:c r="D126" s="26" t="str">
        <x:v>Field monitoring, weather/climate data, models and advisory products</x:v>
      </x:c>
      <x:c r="E126" s="26" t="str">
        <x:v>Public web/service interface; source code not publicly located</x:v>
      </x:c>
      <x:c r="F126" s="26" t="str">
        <x:v>No official public repository located</x:v>
      </x:c>
      <x:c r="G126" s="26" t="str">
        <x:v>https://sarai.ph/</x:v>
      </x:c>
      <x:c r="H126" s="26" t="str">
        <x:v>Not publicly specified</x:v>
      </x:c>
      <x:c r="I126" s="26" t="str">
        <x:v>No public API documentation located</x:v>
      </x:c>
      <x:c r="J126" s="26" t="str">
        <x:v>No machine-readable export specification located</x:v>
      </x:c>
      <x:c r="K126" s="26" t="str">
        <x:v>Planned multi-data integration is evident; public APIs, code and current service endpoints were not found</x:v>
      </x:c>
      <x:c r="L126" s="26" t="str">
        <x:v>Not documented</x:v>
      </x:c>
      <x:c r="M126" s="26" t="str">
        <x:v>No explicit shared-identity integration documented</x:v>
      </x:c>
      <x:c r="N126" s="26" t="str">
        <x:v>No public data schema or conformance standard located</x:v>
      </x:c>
      <x:c r="O126" s="30" t="n">
        <x:v>1</x:v>
      </x:c>
      <x:c r="P126" s="26" t="str">
        <x:v>High unless export, API access and data rights are established</x:v>
      </x:c>
      <x:c r="Q126" s="26" t="str">
        <x:v>Catalog + deep link/referral; require API/export roadmap before deeper SINAG integration</x:v>
      </x:c>
      <x:c r="R126" s="26" t="str">
        <x:v>Confirm architecture, owner/maintainer, source escrow or release policy, license, API specification, authentication, data model, export/import, security testing, privacy impact, uptime/SLA, backups and exit plan.</x:v>
      </x:c>
      <x:c r="S126" s="32" t="str">
        <x:v>https://sarai.ph/</x:v>
      </x:c>
      <x:c r="T126" s="32" t="str">
        <x:v>https://www.pcaarrd.dost.gov.ph/index.php/quick-information-dispatch-qid-articles/dost-pcaarrd-supported-r-d-initiatives-showcased-at-iscene-2024s-breakout-sessions</x:v>
      </x:c>
      <x:c r="U126" s="26" t="str">
        <x:v>2026-07-13</x:v>
      </x:c>
    </x:row>
    <x:row r="127" ht="58" customHeight="1">
      <x:c r="A127" s="26" t="str">
        <x:v>D2-123</x:v>
      </x:c>
      <x:c r="B127" s="26" t="str">
        <x:v>Coffee Automated Phenology and Harvest Estimator</x:v>
      </x:c>
      <x:c r="C127" s="26" t="str">
        <x:v>UP Los Baños / Project SARAi / DOST-PCAARRD</x:v>
      </x:c>
      <x:c r="D127" s="26" t="str">
        <x:v>Mobile/digital phenology model</x:v>
      </x:c>
      <x:c r="E127" s="26" t="str">
        <x:v>Public web/service interface; source code not publicly located</x:v>
      </x:c>
      <x:c r="F127" s="26" t="str">
        <x:v>No official public repository located</x:v>
      </x:c>
      <x:c r="G127" s="26" t="str">
        <x:v>https://www.pcaarrd.dost.gov.ph/index.php/ts-documents/approved-budget-and-corresponding-targets/bp-forms/bp-forms-1/5200-proposed-tier-2-budget-level-for-fy-2027/file</x:v>
      </x:c>
      <x:c r="H127" s="26" t="str">
        <x:v>Not publicly specified</x:v>
      </x:c>
      <x:c r="I127" s="26" t="str">
        <x:v>No public API documentation located</x:v>
      </x:c>
      <x:c r="J127" s="26" t="str">
        <x:v>No machine-readable export specification located</x:v>
      </x:c>
      <x:c r="K127" s="26" t="str">
        <x:v>No public repo/API was located; it is a predecessor concept for YABONG</x:v>
      </x:c>
      <x:c r="L127" s="26" t="str">
        <x:v>Not documented</x:v>
      </x:c>
      <x:c r="M127" s="26" t="str">
        <x:v>No explicit shared-identity integration documented</x:v>
      </x:c>
      <x:c r="N127" s="26" t="str">
        <x:v>No public data schema or conformance standard located</x:v>
      </x:c>
      <x:c r="O127" s="30" t="n">
        <x:v>1</x:v>
      </x:c>
      <x:c r="P127" s="26" t="str">
        <x:v>High unless export, API access and data rights are established</x:v>
      </x:c>
      <x:c r="Q127" s="26" t="str">
        <x:v>Catalog/referral or watchlist pending status and portability validation</x:v>
      </x:c>
      <x:c r="R127" s="26" t="str">
        <x:v>Confirm architecture, owner/maintainer, source escrow or release policy, license, API specification, authentication, data model, export/import, security testing, privacy impact, uptime/SLA, backups and exit plan.</x:v>
      </x:c>
      <x:c r="S127" s="32" t="str">
        <x:v>https://www.pcaarrd.dost.gov.ph/index.php/ts-documents/approved-budget-and-corresponding-targets/bp-forms/bp-forms-1/5200-proposed-tier-2-budget-level-for-fy-2027/file</x:v>
      </x:c>
      <x:c r="T127" s="32" t="str">
        <x:v>https://sarai.ph/</x:v>
      </x:c>
      <x:c r="U127" s="26" t="str">
        <x:v>2026-07-13</x:v>
      </x:c>
    </x:row>
    <x:row r="128" ht="58" customHeight="1">
      <x:c r="A128" s="26" t="str">
        <x:v>D2-124</x:v>
      </x:c>
      <x:c r="B128" s="26" t="str">
        <x:v>Banana Harvest Estimation Tool</x:v>
      </x:c>
      <x:c r="C128" s="26" t="str">
        <x:v>UP Los Baños / Project SARAi / DOST-PCAARRD</x:v>
      </x:c>
      <x:c r="D128" s="26" t="str">
        <x:v>Mobile/digital phenology model</x:v>
      </x:c>
      <x:c r="E128" s="26" t="str">
        <x:v>Public web/service interface; source code not publicly located</x:v>
      </x:c>
      <x:c r="F128" s="26" t="str">
        <x:v>No official public repository located</x:v>
      </x:c>
      <x:c r="G128" s="26" t="str">
        <x:v>https://www.pcaarrd.dost.gov.ph/index.php/ts-documents/approved-budget-and-corresponding-targets/bp-forms/bp-forms-1/5200-proposed-tier-2-budget-level-for-fy-2027/file</x:v>
      </x:c>
      <x:c r="H128" s="26" t="str">
        <x:v>Not publicly specified</x:v>
      </x:c>
      <x:c r="I128" s="26" t="str">
        <x:v>No public API documentation located</x:v>
      </x:c>
      <x:c r="J128" s="26" t="str">
        <x:v>No machine-readable export specification located</x:v>
      </x:c>
      <x:c r="K128" s="26" t="str">
        <x:v>No public source repository or API was located; predecessor to more adaptive tools</x:v>
      </x:c>
      <x:c r="L128" s="26" t="str">
        <x:v>Not documented</x:v>
      </x:c>
      <x:c r="M128" s="26" t="str">
        <x:v>No explicit shared-identity integration documented</x:v>
      </x:c>
      <x:c r="N128" s="26" t="str">
        <x:v>No public data schema or conformance standard located</x:v>
      </x:c>
      <x:c r="O128" s="30" t="n">
        <x:v>1</x:v>
      </x:c>
      <x:c r="P128" s="26" t="str">
        <x:v>High unless export, API access and data rights are established</x:v>
      </x:c>
      <x:c r="Q128" s="26" t="str">
        <x:v>Catalog/referral or watchlist pending status and portability validation</x:v>
      </x:c>
      <x:c r="R128" s="26" t="str">
        <x:v>Confirm architecture, owner/maintainer, source escrow or release policy, license, API specification, authentication, data model, export/import, security testing, privacy impact, uptime/SLA, backups and exit plan.</x:v>
      </x:c>
      <x:c r="S128" s="32" t="str">
        <x:v>https://www.pcaarrd.dost.gov.ph/index.php/ts-documents/approved-budget-and-corresponding-targets/bp-forms/bp-forms-1/5200-proposed-tier-2-budget-level-for-fy-2027/file</x:v>
      </x:c>
      <x:c r="T128" s="32" t="str">
        <x:v>https://sarai.ph/</x:v>
      </x:c>
      <x:c r="U128" s="26" t="str">
        <x:v>2026-07-13</x:v>
      </x:c>
    </x:row>
    <x:row r="129" ht="58" customHeight="1">
      <x:c r="A129" s="26" t="str">
        <x:v>D2-125</x:v>
      </x:c>
      <x:c r="B129" s="26" t="str">
        <x:v>Traco Cacao Traceability Application</x:v>
      </x:c>
      <x:c r="C129" s="26" t="str">
        <x:v>University of Southeastern Philippines / DOST-PCAARRD / BARBCO</x:v>
      </x:c>
      <x:c r="D129" s="26" t="str">
        <x:v>Mobile app, distributed ledger and exportable records</x:v>
      </x:c>
      <x:c r="E129" s="26" t="str">
        <x:v>Proprietary or not publicly released; no official repository located</x:v>
      </x:c>
      <x:c r="F129" s="26" t="str">
        <x:v>No official public repository located</x:v>
      </x:c>
      <x:c r="G129" s="26" t="str">
        <x:v>https://www.pcaarrd.dost.gov.ph/index.php/quick-information-dispatch-qid-articles/dost-pcaarrd-and-usep-advance-cacao-traceability-system-in-southern-philippines</x:v>
      </x:c>
      <x:c r="H129" s="26" t="str">
        <x:v>Not publicly specified</x:v>
      </x:c>
      <x:c r="I129" s="26" t="str">
        <x:v>No public API documentation located</x:v>
      </x:c>
      <x:c r="J129" s="26" t="str">
        <x:v>Record/list extraction is documented; format and schema not public</x:v>
      </x:c>
      <x:c r="K129" s="26" t="str">
        <x:v>Extractable farmer lists and DLT storage are documented; source code, API and ledger specifications are not public</x:v>
      </x:c>
      <x:c r="L129" s="26" t="str">
        <x:v>Not documented</x:v>
      </x:c>
      <x:c r="M129" s="26" t="str">
        <x:v>No explicit shared-identity integration documented</x:v>
      </x:c>
      <x:c r="N129" s="26" t="str">
        <x:v>Critical Tracking Events / Key Data Elements framework documented</x:v>
      </x:c>
      <x:c r="O129" s="30" t="n">
        <x:v>2</x:v>
      </x:c>
      <x:c r="P129" s="26" t="str">
        <x:v>Medium; internal integration exists but external portability is unproven</x:v>
      </x:c>
      <x:c r="Q129" s="26" t="str">
        <x:v>Governed connector/API or scheduled exchange with shared IDs, metadata and audit logs</x:v>
      </x:c>
      <x:c r="R129" s="26" t="str">
        <x:v>Confirm architecture, owner/maintainer, source escrow or release policy, license, API specification, authentication, data model, export/import, security testing, privacy impact, uptime/SLA, backups and exit plan.</x:v>
      </x:c>
      <x:c r="S129" s="32" t="str">
        <x:v>https://www.pcaarrd.dost.gov.ph/index.php/quick-information-dispatch-qid-articles/dost-pcaarrd-and-usep-advance-cacao-traceability-system-in-southern-philippines</x:v>
      </x:c>
      <x:c r="T129" s="32" t="str"/>
      <x:c r="U129" s="26" t="str">
        <x:v>2026-07-13</x:v>
      </x:c>
    </x:row>
    <x:row r="130" ht="58" customHeight="1">
      <x:c r="A130" s="26" t="str">
        <x:v>D2-126</x:v>
      </x:c>
      <x:c r="B130" s="26" t="str">
        <x:v>TALA Isdaan Fishpond Lease Agreement Monitoring System</x:v>
      </x:c>
      <x:c r="C130" s="26" t="str">
        <x:v>UP Los Baños / DOST-PCAARRD and fisheries partners</x:v>
      </x:c>
      <x:c r="D130" s="26" t="str">
        <x:v>Mobile app, WebGIS, real-time data and spatial visualization</x:v>
      </x:c>
      <x:c r="E130" s="26" t="str">
        <x:v>Public web/service interface; source code not publicly located</x:v>
      </x:c>
      <x:c r="F130" s="26" t="str">
        <x:v>No official public repository located</x:v>
      </x:c>
      <x:c r="G130" s="26" t="str">
        <x:v>https://www.pcaarrd.dost.gov.ph/index.php/quick-information-dispatch-qid-articles/advancing-sustainable-farming-dost-pcaarrd-features-smart-agri-aqua-technologies-at-the-2025-nstw</x:v>
      </x:c>
      <x:c r="H130" s="26" t="str">
        <x:v>Not publicly specified</x:v>
      </x:c>
      <x:c r="I130" s="26" t="str">
        <x:v>No public API documentation located</x:v>
      </x:c>
      <x:c r="J130" s="26" t="str">
        <x:v>No machine-readable export specification located</x:v>
      </x:c>
      <x:c r="K130" s="26" t="str">
        <x:v>Mobile–interactive map integration is explicit; public source, APIs and schemas are not</x:v>
      </x:c>
      <x:c r="L130" s="26" t="str">
        <x:v>Not documented</x:v>
      </x:c>
      <x:c r="M130" s="26" t="str">
        <x:v>No explicit shared-identity integration documented</x:v>
      </x:c>
      <x:c r="N130" s="26" t="str">
        <x:v>Geospatial exchange is relevant; CRS, metadata and service standards are not publicly documented</x:v>
      </x:c>
      <x:c r="O130" s="30" t="n">
        <x:v>2</x:v>
      </x:c>
      <x:c r="P130" s="26" t="str">
        <x:v>Medium; internal integration exists but external portability is unproven</x:v>
      </x:c>
      <x:c r="Q130" s="26" t="str">
        <x:v>Governed connector/API or scheduled exchange with shared IDs, metadata and audit logs</x:v>
      </x:c>
      <x:c r="R130" s="26" t="str">
        <x:v>Confirm architecture, owner/maintainer, source escrow or release policy, license, API specification, authentication, data model, export/import, security testing, privacy impact, uptime/SLA, backups and exit plan.</x:v>
      </x:c>
      <x:c r="S130" s="32" t="str">
        <x:v>https://www.pcaarrd.dost.gov.ph/index.php/quick-information-dispatch-qid-articles/advancing-sustainable-farming-dost-pcaarrd-features-smart-agri-aqua-technologies-at-the-2025-nstw</x:v>
      </x:c>
      <x:c r="T130" s="32" t="str"/>
      <x:c r="U130" s="26" t="str">
        <x:v>2026-07-13</x:v>
      </x:c>
    </x:row>
    <x:row r="131" ht="58" customHeight="1">
      <x:c r="A131" s="26" t="str">
        <x:v>D2-127</x:v>
      </x:c>
      <x:c r="B131" s="26" t="str">
        <x:v>Pig Identification and Recording System</x:v>
      </x:c>
      <x:c r="C131" s="26" t="str">
        <x:v>DA-Agricultural Training Institute – International Training Center on Pig Husbandry</x:v>
      </x:c>
      <x:c r="D131" s="26" t="str">
        <x:v>Mobile application</x:v>
      </x:c>
      <x:c r="E131" s="26" t="str">
        <x:v>Public web/service interface; source code not publicly located</x:v>
      </x:c>
      <x:c r="F131" s="26" t="str">
        <x:v>No official public repository located</x:v>
      </x:c>
      <x:c r="G131" s="26" t="str">
        <x:v>https://ati-main.da.gov.ph/ati-main/latest-news/2025-sustainable-agriculture-forum-highlights-innovative-solutions-resilience-and</x:v>
      </x:c>
      <x:c r="H131" s="26" t="str">
        <x:v>Not publicly specified</x:v>
      </x:c>
      <x:c r="I131" s="26" t="str">
        <x:v>No public API documentation located</x:v>
      </x:c>
      <x:c r="J131" s="26" t="str">
        <x:v>No machine-readable export specification located</x:v>
      </x:c>
      <x:c r="K131" s="26" t="str">
        <x:v>No official source repository, API documentation or data-export specification was located</x:v>
      </x:c>
      <x:c r="L131" s="26" t="str">
        <x:v>Not documented</x:v>
      </x:c>
      <x:c r="M131" s="26" t="str">
        <x:v>No explicit shared-identity integration documented</x:v>
      </x:c>
      <x:c r="N131" s="26" t="str">
        <x:v>No public data schema or conformance standard located</x:v>
      </x:c>
      <x:c r="O131" s="30" t="n">
        <x:v>1</x:v>
      </x:c>
      <x:c r="P131" s="26" t="str">
        <x:v>High unless export, API access and data rights are established</x:v>
      </x:c>
      <x:c r="Q131" s="26" t="str">
        <x:v>Catalog + deep link/referral; require API/export roadmap before deeper SINAG integration</x:v>
      </x:c>
      <x:c r="R131" s="26" t="str">
        <x:v>Confirm architecture, owner/maintainer, source escrow or release policy, license, API specification, authentication, data model, export/import, security testing, privacy impact, uptime/SLA, backups and exit plan.</x:v>
      </x:c>
      <x:c r="S131" s="32" t="str">
        <x:v>https://ati-main.da.gov.ph/ati-main/latest-news/2025-sustainable-agriculture-forum-highlights-innovative-solutions-resilience-and</x:v>
      </x:c>
      <x:c r="T131" s="32" t="str">
        <x:v>https://www.facebook.com/InternationalTrainingCenteronPigHusbandry/posts/1043782947773025/</x:v>
      </x:c>
      <x:c r="U131" s="26" t="str">
        <x:v>2026-07-13</x:v>
      </x:c>
    </x:row>
    <x:row r="132" ht="58" customHeight="1">
      <x:c r="A132" s="26" t="str">
        <x:v>D2-128</x:v>
      </x:c>
      <x:c r="B132" s="26" t="str">
        <x:v>Agri 360 Learning Sites Mapping Platform</x:v>
      </x:c>
      <x:c r="C132" s="26" t="str">
        <x:v>DA-Agricultural Training Institute Region IV-A</x:v>
      </x:c>
      <x:c r="D132" s="26" t="str">
        <x:v>Web mapping and virtual 360-degree content</x:v>
      </x:c>
      <x:c r="E132" s="26" t="str">
        <x:v>Public web/service interface; source code not publicly located</x:v>
      </x:c>
      <x:c r="F132" s="26" t="str">
        <x:v>No official public repository located</x:v>
      </x:c>
      <x:c r="G132" s="26" t="str">
        <x:v>https://ati-main.da.gov.ph/ati-main/latest-news/2025-sustainable-agriculture-forum-highlights-innovative-solutions-resilience-and</x:v>
      </x:c>
      <x:c r="H132" s="26" t="str">
        <x:v>Not publicly specified</x:v>
      </x:c>
      <x:c r="I132" s="26" t="str">
        <x:v>No public API documentation located</x:v>
      </x:c>
      <x:c r="J132" s="26" t="str">
        <x:v>No machine-readable export specification located</x:v>
      </x:c>
      <x:c r="K132" s="26" t="str">
        <x:v>Geospatial/content platform is evident; no public API or source repository identified</x:v>
      </x:c>
      <x:c r="L132" s="26" t="str">
        <x:v>Not documented</x:v>
      </x:c>
      <x:c r="M132" s="26" t="str">
        <x:v>No explicit shared-identity integration documented</x:v>
      </x:c>
      <x:c r="N132" s="26" t="str">
        <x:v>Geospatial exchange is relevant; CRS, metadata and service standards are not publicly documented</x:v>
      </x:c>
      <x:c r="O132" s="30" t="n">
        <x:v>1</x:v>
      </x:c>
      <x:c r="P132" s="26" t="str">
        <x:v>High unless export, API access and data rights are established</x:v>
      </x:c>
      <x:c r="Q132" s="26" t="str">
        <x:v>Catalog/referral or watchlist pending status and portability validation</x:v>
      </x:c>
      <x:c r="R132" s="26" t="str">
        <x:v>Confirm architecture, owner/maintainer, source escrow or release policy, license, API specification, authentication, data model, export/import, security testing, privacy impact, uptime/SLA, backups and exit plan.</x:v>
      </x:c>
      <x:c r="S132" s="32" t="str">
        <x:v>https://ati-main.da.gov.ph/ati-main/latest-news/2025-sustainable-agriculture-forum-highlights-innovative-solutions-resilience-and</x:v>
      </x:c>
      <x:c r="T132" s="32" t="str"/>
      <x:c r="U132" s="26" t="str">
        <x:v>2026-07-13</x:v>
      </x:c>
    </x:row>
    <x:row r="133" ht="58" customHeight="1">
      <x:c r="A133" s="26" t="str">
        <x:v>D2-129</x:v>
      </x:c>
      <x:c r="B133" s="26" t="str">
        <x:v>DOST-PCAARRD Agri-Aqua Business Hub</x:v>
      </x:c>
      <x:c r="C133" s="26" t="str">
        <x:v>DOST-PCAARRD and regional partners</x:v>
      </x:c>
      <x:c r="D133" s="26" t="str">
        <x:v>Database, market information service and stakeholder forum</x:v>
      </x:c>
      <x:c r="E133" s="26" t="str">
        <x:v>Public web/service interface; source code not publicly located</x:v>
      </x:c>
      <x:c r="F133" s="26" t="str">
        <x:v>No official public repository located</x:v>
      </x:c>
      <x:c r="G133" s="26" t="str">
        <x:v>https://www.pcaarrd.dost.gov.ph/index.php/ts-documents/approved-budget-and-corresponding-targets/bp-forms/bp-forms-1/5200-proposed-tier-2-budget-level-for-fy-2027/file</x:v>
      </x:c>
      <x:c r="H133" s="26" t="str">
        <x:v>Not publicly specified</x:v>
      </x:c>
      <x:c r="I133" s="26" t="str">
        <x:v>No public API documentation located</x:v>
      </x:c>
      <x:c r="J133" s="26" t="str">
        <x:v>No machine-readable export specification located</x:v>
      </x:c>
      <x:c r="K133" s="26" t="str">
        <x:v>Database expansion and information exchange are intended; public API/source documentation was not located</x:v>
      </x:c>
      <x:c r="L133" s="26" t="str">
        <x:v>Not documented</x:v>
      </x:c>
      <x:c r="M133" s="26" t="str">
        <x:v>No explicit shared-identity integration documented</x:v>
      </x:c>
      <x:c r="N133" s="26" t="str">
        <x:v>No public data schema or conformance standard located</x:v>
      </x:c>
      <x:c r="O133" s="30" t="n">
        <x:v>1</x:v>
      </x:c>
      <x:c r="P133" s="26" t="str">
        <x:v>High unless export, API access and data rights are established</x:v>
      </x:c>
      <x:c r="Q133" s="26" t="str">
        <x:v>Catalog/referral or watchlist pending status and portability validation</x:v>
      </x:c>
      <x:c r="R133" s="26" t="str">
        <x:v>Confirm architecture, owner/maintainer, source escrow or release policy, license, API specification, authentication, data model, export/import, security testing, privacy impact, uptime/SLA, backups and exit plan.</x:v>
      </x:c>
      <x:c r="S133" s="32" t="str">
        <x:v>https://www.pcaarrd.dost.gov.ph/index.php/ts-documents/approved-budget-and-corresponding-targets/bp-forms/bp-forms-1/5200-proposed-tier-2-budget-level-for-fy-2027/file</x:v>
      </x:c>
      <x:c r="T133" s="32" t="str"/>
      <x:c r="U133" s="26" t="str">
        <x:v>2026-07-13</x:v>
      </x:c>
    </x:row>
    <x:row r="134" ht="58" customHeight="1">
      <x:c r="A134" s="26" t="str">
        <x:v>D2-130</x:v>
      </x:c>
      <x:c r="B134" s="26" t="str">
        <x:v>Yield Analytics for AgriBusiness Optimization and Networking Guide</x:v>
      </x:c>
      <x:c r="C134" s="26" t="str">
        <x:v>DOST-PCAARRD and implementing research partners</x:v>
      </x:c>
      <x:c r="D134" s="26" t="str">
        <x:v>Mobile application and predictive models</x:v>
      </x:c>
      <x:c r="E134" s="26" t="str">
        <x:v>Not yet available; planned/proposed system</x:v>
      </x:c>
      <x:c r="F134" s="26" t="str">
        <x:v>Not applicable at current stage</x:v>
      </x:c>
      <x:c r="G134" s="26" t="str">
        <x:v>https://www.pcaarrd.dost.gov.ph/index.php/ts-documents/approved-budget-and-corresponding-targets/bp-forms/bp-forms-1/5200-proposed-tier-2-budget-level-for-fy-2027/file</x:v>
      </x:c>
      <x:c r="H134" s="26" t="str">
        <x:v>Not publicly specified</x:v>
      </x:c>
      <x:c r="I134" s="26" t="str">
        <x:v>No public API documentation located</x:v>
      </x:c>
      <x:c r="J134" s="26" t="str">
        <x:v>No machine-readable export specification located</x:v>
      </x:c>
      <x:c r="K134" s="26" t="str">
        <x:v>No source code or APIs yet; interoperability should be designed before development</x:v>
      </x:c>
      <x:c r="L134" s="26" t="str">
        <x:v>Offline capability documented</x:v>
      </x:c>
      <x:c r="M134" s="26" t="str">
        <x:v>No explicit shared-identity integration documented</x:v>
      </x:c>
      <x:c r="N134" s="26" t="str">
        <x:v>No public data schema or conformance standard located</x:v>
      </x:c>
      <x:c r="O134" s="30" t="n">
        <x:v>0</x:v>
      </x:c>
      <x:c r="P134" s="26" t="str">
        <x:v>Not assessable / very high transition risk</x:v>
      </x:c>
      <x:c r="Q134" s="26" t="str">
        <x:v>Catalog/referral or watchlist pending status and portability validation</x:v>
      </x:c>
      <x:c r="R134" s="26" t="str">
        <x:v>Confirm architecture, owner/maintainer, source escrow or release policy, license, API specification, authentication, data model, export/import, security testing, privacy impact, uptime/SLA, backups and exit plan.</x:v>
      </x:c>
      <x:c r="S134" s="32" t="str">
        <x:v>https://www.pcaarrd.dost.gov.ph/index.php/ts-documents/approved-budget-and-corresponding-targets/bp-forms/bp-forms-1/5200-proposed-tier-2-budget-level-for-fy-2027/file</x:v>
      </x:c>
      <x:c r="T134" s="32" t="str"/>
      <x:c r="U134" s="26" t="str">
        <x:v>2026-07-13</x:v>
      </x:c>
    </x:row>
    <x:row r="135" ht="58" customHeight="1">
      <x:c r="A135" s="26" t="str">
        <x:v>D2-131</x:v>
      </x:c>
      <x:c r="B135" s="26" t="str">
        <x:v>Intelligent Rubber Insect Pests and Disease Diagnostic</x:v>
      </x:c>
      <x:c r="C135" s="26" t="str">
        <x:v>Philippine Rubber Research Institute / DOST-PCAARRD and partners</x:v>
      </x:c>
      <x:c r="D135" s="26" t="str">
        <x:v>Android-compatible mobile app, web platform, image classifier, monitoring database and online clinic</x:v>
      </x:c>
      <x:c r="E135" s="26" t="str">
        <x:v>Public app listing or binary/APK; application source not located</x:v>
      </x:c>
      <x:c r="F135" s="26" t="str">
        <x:v>No official public repository located</x:v>
      </x:c>
      <x:c r="G135" s="26" t="str">
        <x:v>https://irisdd.net/about/</x:v>
      </x:c>
      <x:c r="H135" s="26" t="str">
        <x:v>Not publicly specified</x:v>
      </x:c>
      <x:c r="I135" s="26" t="str">
        <x:v>No public API documentation located</x:v>
      </x:c>
      <x:c r="J135" s="26" t="str">
        <x:v>No machine-readable export specification located</x:v>
      </x:c>
      <x:c r="K135" s="26" t="str">
        <x:v>Web/mobile/online-clinic integration is documented; no official public source repository or API specification located</x:v>
      </x:c>
      <x:c r="L135" s="26" t="str">
        <x:v>Not documented</x:v>
      </x:c>
      <x:c r="M135" s="26" t="str">
        <x:v>No explicit shared-identity integration documented</x:v>
      </x:c>
      <x:c r="N135" s="26" t="str">
        <x:v>No public data schema or conformance standard located</x:v>
      </x:c>
      <x:c r="O135" s="30" t="n">
        <x:v>2</x:v>
      </x:c>
      <x:c r="P135" s="26" t="str">
        <x:v>Medium; internal integration exists but external portability is unproven</x:v>
      </x:c>
      <x:c r="Q135" s="26" t="str">
        <x:v>Governed connector/API or scheduled exchange with shared IDs, metadata and audit logs</x:v>
      </x:c>
      <x:c r="R135" s="26" t="str">
        <x:v>Confirm architecture, owner/maintainer, source escrow or release policy, license, API specification, authentication, data model, export/import, security testing, privacy impact, uptime/SLA, backups and exit plan.</x:v>
      </x:c>
      <x:c r="S135" s="32" t="str">
        <x:v>https://www.pcaarrd.dost.gov.ph/index.php/quick-information-dispatch-qid-articles/artificial-intelligence-based-detection-system-developed-to-manage-rubber-diseases-and-insect-pests</x:v>
      </x:c>
      <x:c r="T135" s="32" t="str">
        <x:v>https://irisdd.net/about/</x:v>
      </x:c>
      <x:c r="U135" s="26" t="str">
        <x:v>2026-07-13</x:v>
      </x:c>
    </x:row>
    <x:row r="136" ht="62" customHeight="1">
      <x:c r="A136" s="26" t="str">
        <x:v>D2-132</x:v>
      </x:c>
      <x:c r="B136" s="26" t="str">
        <x:v>Philippine Native Pig Breed Information System</x:v>
      </x:c>
      <x:c r="C136" s="26" t="str">
        <x:v>DOST-PCAARRD / UPLB / institutional breeder farms</x:v>
      </x:c>
      <x:c r="D136" s="26" t="str">
        <x:v>Web application, role-based dashboard, database and PDF/CSV reports</x:v>
      </x:c>
      <x:c r="E136" s="26" t="str">
        <x:v>Public web application; technology stack is published, but application source code was not located</x:v>
      </x:c>
      <x:c r="F136" s="26" t="str">
        <x:v>No official public repository located</x:v>
      </x:c>
      <x:c r="G136" s="26" t="str">
        <x:v>https://pab-is.pcaarrd.dost.gov.ph/nativepigs/</x:v>
      </x:c>
      <x:c r="H136" s="26" t="str">
        <x:v>Public-site content is government/public-domain unless otherwise stated; software license not specified</x:v>
      </x:c>
      <x:c r="I136" s="26" t="str">
        <x:v>No public API documentation located</x:v>
      </x:c>
      <x:c r="J136" s="26" t="str">
        <x:v>PDF and CSV report export is documented</x:v>
      </x:c>
      <x:c r="K136" s="26" t="str">
        <x:v>Standardized records from multiple institutional breeder farms are integrated into one role-based system</x:v>
      </x:c>
      <x:c r="L136" s="26" t="str">
        <x:v>Web access documented; offline capability not documented</x:v>
      </x:c>
      <x:c r="M136" s="26" t="str">
        <x:v>Farm encoder, administrator and guest roles are documented; no federated identity integration</x:v>
      </x:c>
      <x:c r="N136" s="26" t="str">
        <x:v>Standard record forms and FAO-aligned characterization are documented; machine schema is not public</x:v>
      </x:c>
      <x:c r="O136" s="30" t="n">
        <x:v>2</x:v>
      </x:c>
      <x:c r="P136" s="26" t="str">
        <x:v>Medium; CSV portability exists, but APIs, identifiers, versioning and source access are unproven</x:v>
      </x:c>
      <x:c r="Q136" s="26" t="str">
        <x:v>Governed CSV/API connector using shared farm, animal, breed, pedigree and production-event identifiers</x:v>
      </x:c>
      <x:c r="R136" s="26" t="str">
        <x:v>Confirm current architecture and dependencies, maintainer, database schema, animal-ID policy, CSV dictionaries, authentication, privacy/security, backups, uptime and source-code access or escrow.</x:v>
      </x:c>
      <x:c r="S136" s="32" t="str">
        <x:v>https://www.pjvas.org/index.php/pjvas/article/download/282/253</x:v>
      </x:c>
      <x:c r="T136" s="32" t="str">
        <x:v>https://pab-is.pcaarrd.dost.gov.ph/nativepigs/</x:v>
      </x:c>
      <x:c r="U136" s="26" t="str">
        <x:v>2026-07-13</x:v>
      </x:c>
    </x:row>
    <x:row r="137" ht="62" customHeight="1">
      <x:c r="A137" s="26" t="str">
        <x:v>D2-133</x:v>
      </x:c>
      <x:c r="B137" s="26" t="str">
        <x:v>Philippine Native Chicken and Itik PINAS Breed Information System</x:v>
      </x:c>
      <x:c r="C137" s="26" t="str">
        <x:v>DOST-PCAARRD / UPLB / partner breeding institutions</x:v>
      </x:c>
      <x:c r="D137" s="26" t="str">
        <x:v>Public web information system, database and breeder directory</x:v>
      </x:c>
      <x:c r="E137" s="26" t="str">
        <x:v>Public web information system; application source code was not located</x:v>
      </x:c>
      <x:c r="F137" s="26" t="str">
        <x:v>No official public repository located</x:v>
      </x:c>
      <x:c r="G137" s="26" t="str">
        <x:v>https://pab-is.pcaarrd.dost.gov.ph/nativepoultry/</x:v>
      </x:c>
      <x:c r="H137" s="26" t="str">
        <x:v>Public-site content is government/public-domain unless otherwise stated; software license not specified</x:v>
      </x:c>
      <x:c r="I137" s="26" t="str">
        <x:v>No public API documentation located</x:v>
      </x:c>
      <x:c r="J137" s="26" t="str">
        <x:v>No bulk machine-readable export specification located</x:v>
      </x:c>
      <x:c r="K137" s="26" t="str">
        <x:v>Breed and performance data from multiple partner institutions are presented through a common information system</x:v>
      </x:c>
      <x:c r="L137" s="26" t="str">
        <x:v>Public web access documented; offline capability not documented</x:v>
      </x:c>
      <x:c r="M137" s="26" t="str">
        <x:v>Public browsing and log-in are visible; external identity federation not documented</x:v>
      </x:c>
      <x:c r="N137" s="26" t="str">
        <x:v>Breed characteristics and production-performance fields are documented; machine schema is not public</x:v>
      </x:c>
      <x:c r="O137" s="30" t="n">
        <x:v>2</x:v>
      </x:c>
      <x:c r="P137" s="26" t="str">
        <x:v>Medium; authoritative data exist, but external exchange and update governance are unproven</x:v>
      </x:c>
      <x:c r="Q137" s="26" t="str">
        <x:v>Reference-data connector for breed, institution and breeder-directory records</x:v>
      </x:c>
      <x:c r="R137" s="26" t="str">
        <x:v>Confirm data model, update cycle, partner responsibilities, downloadable datasets, stable breed/institution IDs, API/export roadmap, privacy, accessibility and long-term hosting.</x:v>
      </x:c>
      <x:c r="S137" s="32" t="str">
        <x:v>https://pab-is.pcaarrd.dost.gov.ph/nativepoultry/</x:v>
      </x:c>
      <x:c r="T137" s="32" t="str">
        <x:v>https://pab-is.pcaarrd.dost.gov.ph/</x:v>
      </x:c>
      <x:c r="U137" s="26" t="str">
        <x:v>2026-07-13</x:v>
      </x:c>
    </x:row>
  </x:sheetData>
  <x:mergeCells>
    <x:mergeCell ref="A1:U1"/>
    <x:mergeCell ref="A2:U2"/>
  </x:mergeCells>
  <x:conditionalFormatting sqref="O5:O135">
    <x:cfRule type="colorScale" priority="1">
      <x:colorScale>
        <x:cfvo type="min"/>
        <x:cfvo type="percentile" val="50"/>
        <x:cfvo type="max"/>
        <x:color rgb="FFF5C6C3"/>
        <x:color rgb="FFFFF0B3"/>
        <x:color rgb="FFC4E5B9"/>
      </x:colorScale>
    </x:cfRule>
  </x:conditionalFormatting>
  <x:conditionalFormatting sqref="O136:O137">
    <x:cfRule type="colorScale" priority="2">
      <x:colorScale>
        <x:cfvo type="min"/>
        <x:cfvo type="percentile" val="50"/>
        <x:cfvo type="max"/>
        <x:color rgb="FFF5C6C3"/>
        <x:color rgb="FFFFF0B3"/>
        <x:color rgb="FFC4E5B9"/>
      </x:colorScale>
    </x:cfRule>
  </x:conditionalFormatting>
  <x:pageMargins left="0.7" right="0.7" top="0.75" bottom="0.75" header="0.3" footer="0.3"/>
  <x:tableParts count="1">
    <x:tablePart xmlns:r="http://schemas.openxmlformats.org/officeDocument/2006/relationships" r:id="R9fa426e8e5424f97"/>
  </x:tableParts>
</x:worksheet>
</file>

<file path=xl/worksheets/sheet9.xml><?xml version="1.0" encoding="utf-8"?>
<x:worksheet xmlns:x="http://schemas.openxmlformats.org/spreadsheetml/2006/main">
  <x:sheetFormatPr defaultRowHeight="15"/>
  <x:cols>
    <x:col min="1" max="1" width="10" hidden="0" customWidth="1"/>
    <x:col min="2" max="2" width="12" hidden="0" customWidth="1"/>
    <x:col min="3" max="3" width="33" hidden="0" customWidth="1"/>
    <x:col min="4" max="4" width="31" hidden="0" customWidth="1"/>
    <x:col min="5" max="5" width="9" hidden="0" customWidth="1"/>
    <x:col min="6" max="6" width="24" hidden="0" customWidth="1"/>
    <x:col min="7" max="7" width="38" hidden="0" customWidth="1"/>
    <x:col min="8" max="8" width="28" hidden="0" customWidth="1"/>
    <x:col min="9" max="9" width="32" hidden="0" customWidth="1"/>
    <x:col min="10" max="10" width="32" hidden="0" customWidth="1"/>
    <x:col min="11" max="11" width="27" hidden="0" customWidth="1"/>
    <x:col min="12" max="12" width="32" hidden="0" customWidth="1"/>
    <x:col min="13" max="13" width="13" hidden="0" customWidth="1"/>
    <x:col min="14" max="14" width="38" hidden="0" customWidth="1"/>
    <x:col min="15" max="15" width="38" hidden="0" customWidth="1"/>
    <x:col min="16" max="16" width="35" hidden="0" customWidth="1"/>
    <x:col min="17" max="17" width="48" hidden="0" customWidth="1"/>
    <x:col min="18" max="18" width="14" hidden="0" customWidth="1"/>
    <x:col min="19" max="19" width="36" hidden="0" customWidth="1"/>
    <x:col min="20" max="20" width="30" hidden="0" customWidth="1"/>
  </x:cols>
  <x:sheetData>
    <x:row r="1" ht="36" customHeight="1">
      <x:c r="A1" s="85" t="str">
        <x:v>Philippine Digital Agriculture Research Prototypes and Emerging R&amp;D Outputs</x:v>
      </x:c>
      <x:c r="B1" s="85" t="str">
        <x:v>Philippine Digital Agriculture Research Prototypes and Emerging R&amp;D Outputs</x:v>
      </x:c>
      <x:c r="C1" s="85" t="str">
        <x:v>Philippine Digital Agriculture Research Prototypes and Emerging R&amp;D Outputs</x:v>
      </x:c>
      <x:c r="D1" s="85" t="str">
        <x:v>Philippine Digital Agriculture Research Prototypes and Emerging R&amp;D Outputs</x:v>
      </x:c>
      <x:c r="E1" s="85" t="str">
        <x:v>Philippine Digital Agriculture Research Prototypes and Emerging R&amp;D Outputs</x:v>
      </x:c>
      <x:c r="F1" s="85" t="str">
        <x:v>Philippine Digital Agriculture Research Prototypes and Emerging R&amp;D Outputs</x:v>
      </x:c>
      <x:c r="G1" s="85" t="str">
        <x:v>Philippine Digital Agriculture Research Prototypes and Emerging R&amp;D Outputs</x:v>
      </x:c>
      <x:c r="H1" s="85" t="str">
        <x:v>Philippine Digital Agriculture Research Prototypes and Emerging R&amp;D Outputs</x:v>
      </x:c>
      <x:c r="I1" s="85" t="str">
        <x:v>Philippine Digital Agriculture Research Prototypes and Emerging R&amp;D Outputs</x:v>
      </x:c>
      <x:c r="J1" s="85" t="str">
        <x:v>Philippine Digital Agriculture Research Prototypes and Emerging R&amp;D Outputs</x:v>
      </x:c>
      <x:c r="K1" s="85" t="str">
        <x:v>Philippine Digital Agriculture Research Prototypes and Emerging R&amp;D Outputs</x:v>
      </x:c>
      <x:c r="L1" s="85" t="str">
        <x:v>Philippine Digital Agriculture Research Prototypes and Emerging R&amp;D Outputs</x:v>
      </x:c>
      <x:c r="M1" s="85" t="str">
        <x:v>Philippine Digital Agriculture Research Prototypes and Emerging R&amp;D Outputs</x:v>
      </x:c>
      <x:c r="N1" s="85" t="str">
        <x:v>Philippine Digital Agriculture Research Prototypes and Emerging R&amp;D Outputs</x:v>
      </x:c>
      <x:c r="O1" s="85" t="str">
        <x:v>Philippine Digital Agriculture Research Prototypes and Emerging R&amp;D Outputs</x:v>
      </x:c>
      <x:c r="P1" s="85" t="str">
        <x:v>Philippine Digital Agriculture Research Prototypes and Emerging R&amp;D Outputs</x:v>
      </x:c>
      <x:c r="Q1" s="85" t="str">
        <x:v>Philippine Digital Agriculture Research Prototypes and Emerging R&amp;D Outputs</x:v>
      </x:c>
      <x:c r="R1" s="85" t="str">
        <x:v>Philippine Digital Agriculture Research Prototypes and Emerging R&amp;D Outputs</x:v>
      </x:c>
      <x:c r="S1" s="85" t="str">
        <x:v>Philippine Digital Agriculture Research Prototypes and Emerging R&amp;D Outputs</x:v>
      </x:c>
      <x:c r="T1" s="85"/>
    </x:row>
    <x:row r="2" ht="32" customHeight="1">
      <x:c r="A2" s="88" t="str">
        <x:v>Published prototypes, capstone systems, demonstrations and planned R&amp;D are separated from operating services. Inclusion does not imply impact at scale or endorsement. Linked DATS2_ID identifies prototypes also included in the main inventory.</x:v>
      </x:c>
      <x:c r="B2" s="88" t="str">
        <x:v>Published prototypes, capstone systems, demonstrations and planned R&amp;D are separated from operating services. Inclusion does not imply impact at scale or endorsement. Linked DATS2_ID identifies prototypes also included in the main inventory.</x:v>
      </x:c>
      <x:c r="C2" s="88" t="str">
        <x:v>Published prototypes, capstone systems, demonstrations and planned R&amp;D are separated from operating services. Inclusion does not imply impact at scale or endorsement. Linked DATS2_ID identifies prototypes also included in the main inventory.</x:v>
      </x:c>
      <x:c r="D2" s="88" t="str">
        <x:v>Published prototypes, capstone systems, demonstrations and planned R&amp;D are separated from operating services. Inclusion does not imply impact at scale or endorsement. Linked DATS2_ID identifies prototypes also included in the main inventory.</x:v>
      </x:c>
      <x:c r="E2" s="88" t="str">
        <x:v>Published prototypes, capstone systems, demonstrations and planned R&amp;D are separated from operating services. Inclusion does not imply impact at scale or endorsement. Linked DATS2_ID identifies prototypes also included in the main inventory.</x:v>
      </x:c>
      <x:c r="F2" s="88" t="str">
        <x:v>Published prototypes, capstone systems, demonstrations and planned R&amp;D are separated from operating services. Inclusion does not imply impact at scale or endorsement. Linked DATS2_ID identifies prototypes also included in the main inventory.</x:v>
      </x:c>
      <x:c r="G2" s="88" t="str">
        <x:v>Published prototypes, capstone systems, demonstrations and planned R&amp;D are separated from operating services. Inclusion does not imply impact at scale or endorsement. Linked DATS2_ID identifies prototypes also included in the main inventory.</x:v>
      </x:c>
      <x:c r="H2" s="88" t="str">
        <x:v>Published prototypes, capstone systems, demonstrations and planned R&amp;D are separated from operating services. Inclusion does not imply impact at scale or endorsement. Linked DATS2_ID identifies prototypes also included in the main inventory.</x:v>
      </x:c>
      <x:c r="I2" s="88" t="str">
        <x:v>Published prototypes, capstone systems, demonstrations and planned R&amp;D are separated from operating services. Inclusion does not imply impact at scale or endorsement. Linked DATS2_ID identifies prototypes also included in the main inventory.</x:v>
      </x:c>
      <x:c r="J2" s="88" t="str">
        <x:v>Published prototypes, capstone systems, demonstrations and planned R&amp;D are separated from operating services. Inclusion does not imply impact at scale or endorsement. Linked DATS2_ID identifies prototypes also included in the main inventory.</x:v>
      </x:c>
      <x:c r="K2" s="88" t="str">
        <x:v>Published prototypes, capstone systems, demonstrations and planned R&amp;D are separated from operating services. Inclusion does not imply impact at scale or endorsement. Linked DATS2_ID identifies prototypes also included in the main inventory.</x:v>
      </x:c>
      <x:c r="L2" s="88" t="str">
        <x:v>Published prototypes, capstone systems, demonstrations and planned R&amp;D are separated from operating services. Inclusion does not imply impact at scale or endorsement. Linked DATS2_ID identifies prototypes also included in the main inventory.</x:v>
      </x:c>
      <x:c r="M2" s="88" t="str">
        <x:v>Published prototypes, capstone systems, demonstrations and planned R&amp;D are separated from operating services. Inclusion does not imply impact at scale or endorsement. Linked DATS2_ID identifies prototypes also included in the main inventory.</x:v>
      </x:c>
      <x:c r="N2" s="88" t="str">
        <x:v>Published prototypes, capstone systems, demonstrations and planned R&amp;D are separated from operating services. Inclusion does not imply impact at scale or endorsement. Linked DATS2_ID identifies prototypes also included in the main inventory.</x:v>
      </x:c>
      <x:c r="O2" s="88" t="str">
        <x:v>Published prototypes, capstone systems, demonstrations and planned R&amp;D are separated from operating services. Inclusion does not imply impact at scale or endorsement. Linked DATS2_ID identifies prototypes also included in the main inventory.</x:v>
      </x:c>
      <x:c r="P2" s="88" t="str">
        <x:v>Published prototypes, capstone systems, demonstrations and planned R&amp;D are separated from operating services. Inclusion does not imply impact at scale or endorsement. Linked DATS2_ID identifies prototypes also included in the main inventory.</x:v>
      </x:c>
      <x:c r="Q2" s="88" t="str">
        <x:v>Published prototypes, capstone systems, demonstrations and planned R&amp;D are separated from operating services. Inclusion does not imply impact at scale or endorsement. Linked DATS2_ID identifies prototypes also included in the main inventory.</x:v>
      </x:c>
      <x:c r="R2" s="88" t="str">
        <x:v>Published prototypes, capstone systems, demonstrations and planned R&amp;D are separated from operating services. Inclusion does not imply impact at scale or endorsement. Linked DATS2_ID identifies prototypes also included in the main inventory.</x:v>
      </x:c>
      <x:c r="S2" s="88" t="str">
        <x:v>Published prototypes, capstone systems, demonstrations and planned R&amp;D are separated from operating services. Inclusion does not imply impact at scale or endorsement. Linked DATS2_ID identifies prototypes also included in the main inventory.</x:v>
      </x:c>
      <x:c r="T2" s="88"/>
    </x:row>
    <x:row r="4">
      <x:c r="A4" s="18" t="str">
        <x:v>Prototype ID</x:v>
      </x:c>
      <x:c r="B4" s="18" t="str">
        <x:v>Linked DATS2_ID</x:v>
      </x:c>
      <x:c r="C4" s="18" t="str">
        <x:v>Prototype / Research Output</x:v>
      </x:c>
      <x:c r="D4" s="18" t="str">
        <x:v>Institution / Developer</x:v>
      </x:c>
      <x:c r="E4" s="18" t="str">
        <x:v>Year</x:v>
      </x:c>
      <x:c r="F4" s="18" t="str">
        <x:v>Sector / Commodity</x:v>
      </x:c>
      <x:c r="G4" s="18" t="str">
        <x:v>Technology</x:v>
      </x:c>
      <x:c r="H4" s="18" t="str">
        <x:v>Research / Deployment Stage</x:v>
      </x:c>
      <x:c r="I4" s="18" t="str">
        <x:v>Test or Deployment Context</x:v>
      </x:c>
      <x:c r="J4" s="18" t="str">
        <x:v>Public Source-Code Status</x:v>
      </x:c>
      <x:c r="K4" s="18" t="str">
        <x:v>Repository / License</x:v>
      </x:c>
      <x:c r="L4" s="18" t="str">
        <x:v>API / Export Evidence</x:v>
      </x:c>
      <x:c r="M4" s="18" t="str">
        <x:v>Interop Readiness (0–4)</x:v>
      </x:c>
      <x:c r="N4" s="18" t="str">
        <x:v>Evidence / Validation</x:v>
      </x:c>
      <x:c r="O4" s="18" t="str">
        <x:v>Principal Scaling Bottleneck</x:v>
      </x:c>
      <x:c r="P4" s="18" t="str">
        <x:v>Potential SINAG Role</x:v>
      </x:c>
      <x:c r="Q4" s="18" t="str">
        <x:v>Primary Source</x:v>
      </x:c>
      <x:c r="R4" s="18" t="str">
        <x:v>Evidence Confidence</x:v>
      </x:c>
      <x:c r="S4" s="18" t="str">
        <x:v>Notes</x:v>
      </x:c>
      <x:c r="T4" s="82" t="str">
        <x:v>Livestock / Poultry Coverage</x:v>
      </x:c>
    </x:row>
    <x:row r="5" ht="64" customHeight="1">
      <x:c r="A5" s="26" t="str">
        <x:v>RP-001</x:v>
      </x:c>
      <x:c r="B5" s="26" t="str"/>
      <x:c r="C5" s="26" t="str">
        <x:v>HerdHero Livestock Monitoring and Management Platform</x:v>
      </x:c>
      <x:c r="D5" s="26" t="str">
        <x:v>Manuel S. Enverga University Foundation researchers</x:v>
      </x:c>
      <x:c r="E5" s="26" t="n">
        <x:v>2025</x:v>
      </x:c>
      <x:c r="F5" s="26" t="str">
        <x:v>Livestock</x:v>
      </x:c>
      <x:c r="G5" s="26" t="str">
        <x:v>QR identification, React/React Native, web/mobile farm management and descriptive analytics</x:v>
      </x:c>
      <x:c r="H5" s="26" t="str">
        <x:v>Research prototype evaluated by users and IT experts</x:v>
      </x:c>
      <x:c r="I5" s="26" t="str">
        <x:v>Prototype deployment architecture used Vercel, Heroku and Render</x:v>
      </x:c>
      <x:c r="J5" s="26" t="str">
        <x:v>Technology stack is published, but no official source repository was linked</x:v>
      </x:c>
      <x:c r="K5" s="26" t="str">
        <x:v>No public license or repository located</x:v>
      </x:c>
      <x:c r="L5" s="26" t="str">
        <x:v>Client/server/database architecture documented; no public API/export spec</x:v>
      </x:c>
      <x:c r="M5" s="30" t="n">
        <x:v>2</x:v>
      </x:c>
      <x:c r="N5" s="26" t="str">
        <x:v>Black-box and ISO/IEC 25010 evaluation reported</x:v>
      </x:c>
      <x:c r="O5" s="26" t="str">
        <x:v>No operational owner, farm deployment evidence, animal-ID standard or maintenance model</x:v>
      </x:c>
      <x:c r="P5" s="26" t="str">
        <x:v>Livestock prototype benchmark and possible sandbox candidate</x:v>
      </x:c>
      <x:c r="Q5" s="32" t="str">
        <x:v>https://mseuf.edu.ph/research/publications/herdhero-a-platform-as-a-service-for-livestock-monitoring-and-management-system-with-descriptive-analytics</x:v>
      </x:c>
      <x:c r="R5" s="26" t="str">
        <x:v>High</x:v>
      </x:c>
      <x:c r="S5" s="26" t="str"/>
      <x:c r="T5" s="26" t="str">
        <x:v>Livestock — general</x:v>
      </x:c>
    </x:row>
    <x:row r="6" ht="64" customHeight="1">
      <x:c r="A6" s="26" t="str">
        <x:v>RP-002</x:v>
      </x:c>
      <x:c r="B6" s="26" t="str"/>
      <x:c r="C6" s="26" t="str">
        <x:v>Project M.A.K.A.S.A. Intelligent Agricultural Information System</x:v>
      </x:c>
      <x:c r="D6" s="26" t="str">
        <x:v>Bohol Island State University–Bilar and Cebu Institute of Technology–University</x:v>
      </x:c>
      <x:c r="E6" s="26" t="n">
        <x:v>2024</x:v>
      </x:c>
      <x:c r="F6" s="26" t="str">
        <x:v>Smallholder agriculture in Bohol</x:v>
      </x:c>
      <x:c r="G6" s="26" t="str">
        <x:v>AI-based localized information, predictive insights and recommendations</x:v>
      </x:c>
      <x:c r="H6" s="26" t="str">
        <x:v>Conceptual/prototype research</x:v>
      </x:c>
      <x:c r="I6" s="26" t="str">
        <x:v>Stakeholder-informed design with farmers, experts and local representatives</x:v>
      </x:c>
      <x:c r="J6" s="26" t="str">
        <x:v>No official public source repository located</x:v>
      </x:c>
      <x:c r="K6" s="26" t="str">
        <x:v>No public license identified</x:v>
      </x:c>
      <x:c r="L6" s="26" t="str">
        <x:v>Prototype concept discusses information-system integration; no production API/export evidence</x:v>
      </x:c>
      <x:c r="M6" s="30" t="n">
        <x:v>1</x:v>
      </x:c>
      <x:c r="N6" s="26" t="str">
        <x:v>Conference paper and stakeholder survey</x:v>
      </x:c>
      <x:c r="O6" s="26" t="str">
        <x:v>Prototype maturity, localized datasets, AI validation, ethics, user interface and sustained ownership</x:v>
      </x:c>
      <x:c r="P6" s="26" t="str">
        <x:v>Localized AI sandbox; candidate for interoperability and responsible-AI evaluation</x:v>
      </x:c>
      <x:c r="Q6" s="32" t="str">
        <x:v>https://www.researchgate.net/publication/389109460_A_Prototype_of_Project_MAKASA_Modeling_Agricultural_Knowledge_with_AI_for_Sustainable_Agriculture_An_Intelligent_Information_System</x:v>
      </x:c>
      <x:c r="R6" s="26" t="str">
        <x:v>High</x:v>
      </x:c>
      <x:c r="S6" s="26" t="str"/>
      <x:c r="T6" s="26" t="str">
        <x:v>Not dedicated</x:v>
      </x:c>
    </x:row>
    <x:row r="7" ht="64" customHeight="1">
      <x:c r="A7" s="26" t="str">
        <x:v>RP-003</x:v>
      </x:c>
      <x:c r="B7" s="26" t="str"/>
      <x:c r="C7" s="26" t="str">
        <x:v>AgroEase Digital Marketplace Prototype</x:v>
      </x:c>
      <x:c r="D7" s="26" t="str">
        <x:v>Filipino university researchers</x:v>
      </x:c>
      <x:c r="E7" s="26" t="n">
        <x:v>2026</x:v>
      </x:c>
      <x:c r="F7" s="26" t="str">
        <x:v>Smallholder agriculture and markets</x:v>
      </x:c>
      <x:c r="G7" s="26" t="str">
        <x:v>Digital marketplace designed using a design-thinking approach</x:v>
      </x:c>
      <x:c r="H7" s="26" t="str">
        <x:v>Proposed/developed conference prototype</x:v>
      </x:c>
      <x:c r="I7" s="26" t="str">
        <x:v>Designed to connect Filipino small-scale farmers and market participants</x:v>
      </x:c>
      <x:c r="J7" s="26" t="str">
        <x:v>No official public source repository located</x:v>
      </x:c>
      <x:c r="K7" s="26" t="str">
        <x:v>ACM paper access; software license not stated</x:v>
      </x:c>
      <x:c r="L7" s="26" t="str">
        <x:v>No production API, payment, logistics or export evidence located</x:v>
      </x:c>
      <x:c r="M7" s="30" t="n">
        <x:v>1</x:v>
      </x:c>
      <x:c r="N7" s="26" t="str">
        <x:v>Peer-reviewed conference prototype</x:v>
      </x:c>
      <x:c r="O7" s="26" t="str">
        <x:v>Marketplace liquidity, verification, logistics, payments, farmer terms and product ownership</x:v>
      </x:c>
      <x:c r="P7" s="26" t="str">
        <x:v>Usability/design case; not a production SINAG marketplace</x:v>
      </x:c>
      <x:c r="Q7" s="32" t="str">
        <x:v>https://dl.acm.org/doi/full/10.1145/3796315.3796336</x:v>
      </x:c>
      <x:c r="R7" s="26" t="str">
        <x:v>High</x:v>
      </x:c>
      <x:c r="S7" s="26" t="str"/>
      <x:c r="T7" s="26" t="str">
        <x:v>Not dedicated</x:v>
      </x:c>
    </x:row>
    <x:row r="8" ht="64" customHeight="1">
      <x:c r="A8" s="26" t="str">
        <x:v>RP-004</x:v>
      </x:c>
      <x:c r="B8" s="26" t="str"/>
      <x:c r="C8" s="26" t="str">
        <x:v>AgroAI Leaf-Based Crop Disease Detection System</x:v>
      </x:c>
      <x:c r="D8" s="26" t="str">
        <x:v>Philippine researchers / Brgy. Lidong study</x:v>
      </x:c>
      <x:c r="E8" s="26" t="n">
        <x:v>2025</x:v>
      </x:c>
      <x:c r="F8" s="26" t="str">
        <x:v>Banana, corn, mango, potato and tomato</x:v>
      </x:c>
      <x:c r="G8" s="26" t="str">
        <x:v>CNN computer vision, web/mobile diagnosis, treatment suggestions, confidence scores and analytics</x:v>
      </x:c>
      <x:c r="H8" s="26" t="str">
        <x:v>Research application prototype</x:v>
      </x:c>
      <x:c r="I8" s="26" t="str">
        <x:v>Designed for farmers in Brgy. Lidong</x:v>
      </x:c>
      <x:c r="J8" s="26" t="str">
        <x:v>No official public source repository located</x:v>
      </x:c>
      <x:c r="K8" s="26" t="str">
        <x:v>No public license identified</x:v>
      </x:c>
      <x:c r="L8" s="26" t="str">
        <x:v>Diagnostic history and analytics are described; no API/export specification located</x:v>
      </x:c>
      <x:c r="M8" s="30" t="n">
        <x:v>1</x:v>
      </x:c>
      <x:c r="N8" s="26" t="str">
        <x:v>Published application study</x:v>
      </x:c>
      <x:c r="O8" s="26" t="str">
        <x:v>External validation, representative image datasets, safe treatment advice, offline use and expert escalation</x:v>
      </x:c>
      <x:c r="P8" s="26" t="str">
        <x:v>Crop-diagnostic benchmark and labelled-data candidate after quality review</x:v>
      </x:c>
      <x:c r="Q8" s="32" t="str">
        <x:v>https://rsisinternational.org/journals/ijrias/view/agroai-leaf-based-crop-disease-detection-for-brgy-lidong-farmers-using-convolutional-neural-networks-computer-vision-and-data-analytics</x:v>
      </x:c>
      <x:c r="R8" s="26" t="str">
        <x:v>Medium</x:v>
      </x:c>
      <x:c r="S8" s="26" t="str"/>
      <x:c r="T8" s="26" t="str">
        <x:v>Not dedicated</x:v>
      </x:c>
    </x:row>
    <x:row r="9" ht="64" customHeight="1">
      <x:c r="A9" s="26" t="str">
        <x:v>RP-005</x:v>
      </x:c>
      <x:c r="B9" s="26" t="str"/>
      <x:c r="C9" s="26" t="str">
        <x:v>Prototype Application for Rice Disease Detection using CNN</x:v>
      </x:c>
      <x:c r="D9" s="26" t="str">
        <x:v>Philippine academic researchers</x:v>
      </x:c>
      <x:c r="E9" s="26" t="n">
        <x:v>2023</x:v>
      </x:c>
      <x:c r="F9" s="26" t="str">
        <x:v>Rice</x:v>
      </x:c>
      <x:c r="G9" s="26" t="str">
        <x:v>Convolutional neural network and mobile application</x:v>
      </x:c>
      <x:c r="H9" s="26" t="str">
        <x:v>Published research prototype</x:v>
      </x:c>
      <x:c r="I9" s="26" t="str">
        <x:v>Laboratory/application prototype</x:v>
      </x:c>
      <x:c r="J9" s="26" t="str">
        <x:v>Paper is open; official application source repository was not located</x:v>
      </x:c>
      <x:c r="K9" s="26" t="str">
        <x:v>Paper access is public; software license not specified</x:v>
      </x:c>
      <x:c r="L9" s="26" t="str">
        <x:v>No public API or export evidence</x:v>
      </x:c>
      <x:c r="M9" s="30" t="n">
        <x:v>1</x:v>
      </x:c>
      <x:c r="N9" s="26" t="str">
        <x:v>Open arXiv paper</x:v>
      </x:c>
      <x:c r="O9" s="26" t="str">
        <x:v>Field validation, dataset representativeness, device performance, explainability and expert confirmation</x:v>
      </x:c>
      <x:c r="P9" s="26" t="str">
        <x:v>Benchmark for evaluating rice-disease diagnostic approaches</x:v>
      </x:c>
      <x:c r="Q9" s="32" t="str">
        <x:v>https://arxiv.org/abs/2301.05528</x:v>
      </x:c>
      <x:c r="R9" s="26" t="str">
        <x:v>High</x:v>
      </x:c>
      <x:c r="S9" s="26" t="str"/>
      <x:c r="T9" s="26" t="str">
        <x:v>Not dedicated</x:v>
      </x:c>
    </x:row>
    <x:row r="10" ht="64" customHeight="1">
      <x:c r="A10" s="26" t="str">
        <x:v>RP-006</x:v>
      </x:c>
      <x:c r="B10" s="26" t="str"/>
      <x:c r="C10" s="26" t="str">
        <x:v>IoT Smart Greenhouse System for Hydroponic Gardens</x:v>
      </x:c>
      <x:c r="D10" s="26" t="str">
        <x:v>Philippine university researchers</x:v>
      </x:c>
      <x:c r="E10" s="26" t="n">
        <x:v>2023</x:v>
      </x:c>
      <x:c r="F10" s="26" t="str">
        <x:v>Hydroponics / controlled-environment agriculture</x:v>
      </x:c>
      <x:c r="G10" s="26" t="str">
        <x:v>IoT sensors, ThingSpeak, pH, temperature, humidity and light monitoring</x:v>
      </x:c>
      <x:c r="H10" s="26" t="str">
        <x:v>Published prototype</x:v>
      </x:c>
      <x:c r="I10" s="26" t="str">
        <x:v>Smart greenhouse/hydroponic garden test setup</x:v>
      </x:c>
      <x:c r="J10" s="26" t="str">
        <x:v>Paper is open; official code and firmware repository not located</x:v>
      </x:c>
      <x:c r="K10" s="26" t="str">
        <x:v>No software/hardware open license identified</x:v>
      </x:c>
      <x:c r="L10" s="26" t="str">
        <x:v>Cloud dashboard use is documented; no reusable API/schema package located</x:v>
      </x:c>
      <x:c r="M10" s="30" t="n">
        <x:v>2</x:v>
      </x:c>
      <x:c r="N10" s="26" t="str">
        <x:v>Open arXiv paper and prototype demonstration</x:v>
      </x:c>
      <x:c r="O10" s="26" t="str">
        <x:v>Sensor calibration, nutrient control, reliability, cost, cybersecurity and commercial support</x:v>
      </x:c>
      <x:c r="P10" s="26" t="str">
        <x:v>Controlled-environment sensor interoperability test case</x:v>
      </x:c>
      <x:c r="Q10" s="32" t="str">
        <x:v>https://arxiv.org/abs/2305.01189</x:v>
      </x:c>
      <x:c r="R10" s="26" t="str">
        <x:v>High</x:v>
      </x:c>
      <x:c r="S10" s="26" t="str"/>
      <x:c r="T10" s="26" t="str">
        <x:v>Not dedicated</x:v>
      </x:c>
    </x:row>
    <x:row r="11" ht="64" customHeight="1">
      <x:c r="A11" s="26" t="str">
        <x:v>RP-007</x:v>
      </x:c>
      <x:c r="B11" s="26" t="str"/>
      <x:c r="C11" s="26" t="str">
        <x:v>Bluetooth-Based Smart Irrigation using ESP32</x:v>
      </x:c>
      <x:c r="D11" s="26" t="str">
        <x:v>Negros Oriental State University researchers</x:v>
      </x:c>
      <x:c r="E11" s="26" t="n">
        <x:v>2025</x:v>
      </x:c>
      <x:c r="F11" s="26" t="str">
        <x:v>Small-scale irrigation / home gardens</x:v>
      </x:c>
      <x:c r="G11" s="26" t="str">
        <x:v>ESP32, capacitive soil-moisture sensors, Bluetooth mobile control and pumps</x:v>
      </x:c>
      <x:c r="H11" s="26" t="str">
        <x:v>Undergraduate/research prototype</x:v>
      </x:c>
      <x:c r="I11" s="26" t="str">
        <x:v>Offline small-scale setup with plant-size watering profiles</x:v>
      </x:c>
      <x:c r="J11" s="26" t="str">
        <x:v>Design is described in a public manuscript; firmware/app repository not located</x:v>
      </x:c>
      <x:c r="K11" s="26" t="str">
        <x:v>No public license identified</x:v>
      </x:c>
      <x:c r="L11" s="26" t="str">
        <x:v>Bluetooth local exchange only; no cloud API or data export</x:v>
      </x:c>
      <x:c r="M11" s="30" t="n">
        <x:v>1</x:v>
      </x:c>
      <x:c r="N11" s="26" t="str">
        <x:v>Prototype testing reported in institutional manuscript</x:v>
      </x:c>
      <x:c r="O11" s="26" t="str">
        <x:v>Limited scale, soil/crop calibration, durability, electrical safety and no weather integration</x:v>
      </x:c>
      <x:c r="P11" s="26" t="str">
        <x:v>Offline design reference for low-connectivity pilots</x:v>
      </x:c>
      <x:c r="Q11" s="32" t="str">
        <x:v>https://norsu.edu.ph/files/wuri/2025/Development%20of%20a%20Bluetooth%20Based%20Smart%20Irrigation%20System%20Using%20ESP32%20for%20Offline%20Agricultural%20Applications%20Manuscript.pdf</x:v>
      </x:c>
      <x:c r="R11" s="26" t="str">
        <x:v>Medium</x:v>
      </x:c>
      <x:c r="S11" s="26" t="str"/>
      <x:c r="T11" s="26" t="str">
        <x:v>Not dedicated</x:v>
      </x:c>
    </x:row>
    <x:row r="12" ht="64" customHeight="1">
      <x:c r="A12" s="26" t="str">
        <x:v>RP-008</x:v>
      </x:c>
      <x:c r="B12" s="26" t="str"/>
      <x:c r="C12" s="26" t="str">
        <x:v>MushSmart IoT Oyster Mushroom Cultivation and Monitoring</x:v>
      </x:c>
      <x:c r="D12" s="26" t="str">
        <x:v>Quezon City University researchers</x:v>
      </x:c>
      <x:c r="E12" s="26" t="n">
        <x:v>2023</x:v>
      </x:c>
      <x:c r="F12" s="26" t="str">
        <x:v>Oyster mushroom</x:v>
      </x:c>
      <x:c r="G12" s="26" t="str">
        <x:v>ATmega328P, IoT sensors, automated mist/ventilation, freshness scanning and smartphone monitoring</x:v>
      </x:c>
      <x:c r="H12" s="26" t="str">
        <x:v>Capstone / prototype</x:v>
      </x:c>
      <x:c r="I12" s="26" t="str">
        <x:v>Enclosed cultivation and monitoring system</x:v>
      </x:c>
      <x:c r="J12" s="26" t="str">
        <x:v>Abstract is public; source code and firmware were not located</x:v>
      </x:c>
      <x:c r="K12" s="26" t="str">
        <x:v>No public license identified</x:v>
      </x:c>
      <x:c r="L12" s="26" t="str">
        <x:v>Mobile monitoring is described; no API/export evidence</x:v>
      </x:c>
      <x:c r="M12" s="30" t="n">
        <x:v>1</x:v>
      </x:c>
      <x:c r="N12" s="26" t="str">
        <x:v>Conference book-of-abstracts reports functionality and portability testing</x:v>
      </x:c>
      <x:c r="O12" s="26" t="str">
        <x:v>Long-term grow-cycle validation, biosecurity, sensor reliability, cost and maintainability</x:v>
      </x:c>
      <x:c r="P12" s="26" t="str">
        <x:v>Controlled-environment prototype catalog and testing candidate</x:v>
      </x:c>
      <x:c r="Q12" s="32" t="str">
        <x:v>https://qcu.edu.ph/wp-content/uploads/2023/04/BOOK-OF-ABSTRACT-PIONEER-2023-34444.pdf</x:v>
      </x:c>
      <x:c r="R12" s="26" t="str">
        <x:v>Medium</x:v>
      </x:c>
      <x:c r="S12" s="26" t="str"/>
      <x:c r="T12" s="26" t="str">
        <x:v>Not dedicated</x:v>
      </x:c>
    </x:row>
    <x:row r="13" ht="64" customHeight="1">
      <x:c r="A13" s="26" t="str">
        <x:v>RP-009</x:v>
      </x:c>
      <x:c r="B13" s="26" t="str">
        <x:v>D2-049</x:v>
      </x:c>
      <x:c r="C13" s="26" t="str">
        <x:v>Smart Water Irrigation for Rice Farming through IoT</x:v>
      </x:c>
      <x:c r="D13" s="26" t="str">
        <x:v>Philippine academic researchers</x:v>
      </x:c>
      <x:c r="E13" s="26" t="n">
        <x:v>2024</x:v>
      </x:c>
      <x:c r="F13" s="26" t="str">
        <x:v>Rice</x:v>
      </x:c>
      <x:c r="G13" s="26" t="str">
        <x:v>Solar-powered IoT water monitoring and control</x:v>
      </x:c>
      <x:c r="H13" s="26" t="str">
        <x:v>Published prototype</x:v>
      </x:c>
      <x:c r="I13" s="26" t="str">
        <x:v>Prototype rice-irrigation use case</x:v>
      </x:c>
      <x:c r="J13" s="26" t="str">
        <x:v>Paper is public; official source/firmware repository not located</x:v>
      </x:c>
      <x:c r="K13" s="26" t="str">
        <x:v>No public license identified</x:v>
      </x:c>
      <x:c r="L13" s="26" t="str">
        <x:v>Prototype architecture is described; no production API/export standard</x:v>
      </x:c>
      <x:c r="M13" s="30" t="n">
        <x:v>1</x:v>
      </x:c>
      <x:c r="N13" s="26" t="str">
        <x:v>Published prototype paper</x:v>
      </x:c>
      <x:c r="O13" s="26" t="str">
        <x:v>Multi-season field performance, fail-safe operation, sensor maintenance and service model</x:v>
      </x:c>
      <x:c r="P13" s="26" t="str">
        <x:v>Research sandbox for comparing AWD/water-control technologies</x:v>
      </x:c>
      <x:c r="Q13" s="32" t="str">
        <x:v>https://arxiv.org/abs/2402.07917</x:v>
      </x:c>
      <x:c r="R13" s="26" t="str">
        <x:v>High</x:v>
      </x:c>
      <x:c r="S13" s="26" t="str"/>
      <x:c r="T13" s="26" t="str">
        <x:v>Not dedicated</x:v>
      </x:c>
    </x:row>
    <x:row r="14" ht="64" customHeight="1">
      <x:c r="A14" s="26" t="str">
        <x:v>RP-010</x:v>
      </x:c>
      <x:c r="B14" s="26" t="str">
        <x:v>D2-045</x:v>
      </x:c>
      <x:c r="C14" s="26" t="str">
        <x:v>Gul.AI Plant Phenotyping Platform</x:v>
      </x:c>
      <x:c r="D14" s="26" t="str">
        <x:v>DOST-ASTI</x:v>
      </x:c>
      <x:c r="E14" s="26" t="n">
        <x:v>2019</x:v>
      </x:c>
      <x:c r="F14" s="26" t="str">
        <x:v>Controlled-environment crops and education</x:v>
      </x:c>
      <x:c r="G14" s="26" t="str">
        <x:v>IoT plant boxes, environmental sensing, images and AI</x:v>
      </x:c>
      <x:c r="H14" s="26" t="str">
        <x:v>Institutional prototype/pilot</x:v>
      </x:c>
      <x:c r="I14" s="26" t="str">
        <x:v>Schools, universities and crop-science learning</x:v>
      </x:c>
      <x:c r="J14" s="26" t="str">
        <x:v>No official public source repository located</x:v>
      </x:c>
      <x:c r="K14" s="26" t="str">
        <x:v>Public R&amp;D; licensing not specified</x:v>
      </x:c>
      <x:c r="L14" s="26" t="str">
        <x:v>Cloud/sensor integration is described; public device schema/API not located</x:v>
      </x:c>
      <x:c r="M14" s="30" t="n">
        <x:v>1</x:v>
      </x:c>
      <x:c r="N14" s="26" t="str">
        <x:v>Official DOST-ASTI project description</x:v>
      </x:c>
      <x:c r="O14" s="26" t="str">
        <x:v>Hardware cost, calibration, maintenance, support and transition beyond learning environments</x:v>
      </x:c>
      <x:c r="P14" s="26" t="str">
        <x:v>Sensor and controlled-environment sandbox</x:v>
      </x:c>
      <x:c r="Q14" s="32" t="str">
        <x:v>https://asti.dost.gov.ph/communications/angsurian/2019/project-gul-ai-promoting-ai-technology-in-agriculture/</x:v>
      </x:c>
      <x:c r="R14" s="26" t="str">
        <x:v>High</x:v>
      </x:c>
      <x:c r="S14" s="26" t="str"/>
      <x:c r="T14" s="26" t="str">
        <x:v>Not dedicated</x:v>
      </x:c>
    </x:row>
    <x:row r="15" ht="64" customHeight="1">
      <x:c r="A15" s="26" t="str">
        <x:v>RP-011</x:v>
      </x:c>
      <x:c r="B15" s="26" t="str">
        <x:v>D2-047</x:v>
      </x:c>
      <x:c r="C15" s="26" t="str">
        <x:v>SAqFeeder Smart Aquafarm Feeder</x:v>
      </x:c>
      <x:c r="D15" s="26" t="str">
        <x:v>DOST-ASTI and partners</x:v>
      </x:c>
      <x:c r="E15" s="26" t="n">
        <x:v>2024</x:v>
      </x:c>
      <x:c r="F15" s="26" t="str">
        <x:v>Aquaculture</x:v>
      </x:c>
      <x:c r="G15" s="26" t="str">
        <x:v>Computer vision, auditory filtering, sensing and automated feeding</x:v>
      </x:c>
      <x:c r="H15" s="26" t="str">
        <x:v>Ongoing R&amp;D pilot</x:v>
      </x:c>
      <x:c r="I15" s="26" t="str">
        <x:v>Partner aquafarms; project scheduled through 2026</x:v>
      </x:c>
      <x:c r="J15" s="26" t="str">
        <x:v>No public source repository located</x:v>
      </x:c>
      <x:c r="K15" s="26" t="str">
        <x:v>Public R&amp;D; license not specified</x:v>
      </x:c>
      <x:c r="L15" s="26" t="str">
        <x:v>Device/network integration intended; no public API/schema</x:v>
      </x:c>
      <x:c r="M15" s="30" t="n">
        <x:v>1</x:v>
      </x:c>
      <x:c r="N15" s="26" t="str">
        <x:v>Official DOST-ASTI program portfolio</x:v>
      </x:c>
      <x:c r="O15" s="26" t="str">
        <x:v>Biofouling, species transfer, maintenance, total cost and commercial service support</x:v>
      </x:c>
      <x:c r="P15" s="26" t="str">
        <x:v>Aquaculture device/data pilot using standard feed and maintenance records</x:v>
      </x:c>
      <x:c r="Q15" s="32" t="str">
        <x:v>https://asti.dost.gov.ph/wp-content/uploads/ASTI-PPAs-2026-v2-FDL_17-June-26.pdf</x:v>
      </x:c>
      <x:c r="R15" s="26" t="str">
        <x:v>High</x:v>
      </x:c>
      <x:c r="S15" s="26" t="str"/>
      <x:c r="T15" s="26" t="str">
        <x:v>Not dedicated</x:v>
      </x:c>
    </x:row>
    <x:row r="16" ht="64" customHeight="1">
      <x:c r="A16" s="26" t="str">
        <x:v>RP-012</x:v>
      </x:c>
      <x:c r="B16" s="26" t="str">
        <x:v>D2-048</x:v>
      </x:c>
      <x:c r="C16" s="26" t="str">
        <x:v>AqWANetIO Ammonia Sensor Network</x:v>
      </x:c>
      <x:c r="D16" s="26" t="str">
        <x:v>DOST-ASTI and partners</x:v>
      </x:c>
      <x:c r="E16" s="26" t="n">
        <x:v>2025</x:v>
      </x:c>
      <x:c r="F16" s="26" t="str">
        <x:v>Aquaculture</x:v>
      </x:c>
      <x:c r="G16" s="26" t="str">
        <x:v>Ammonia sensors, IoT edge computing and long-range communications</x:v>
      </x:c>
      <x:c r="H16" s="26" t="str">
        <x:v>Ongoing R&amp;D pilot</x:v>
      </x:c>
      <x:c r="I16" s="26" t="str">
        <x:v>Philippine aquaculture farms; project scheduled to 2028</x:v>
      </x:c>
      <x:c r="J16" s="26" t="str">
        <x:v>No public source repository located</x:v>
      </x:c>
      <x:c r="K16" s="26" t="str">
        <x:v>Public R&amp;D; license not specified</x:v>
      </x:c>
      <x:c r="L16" s="26" t="str">
        <x:v>Integration into broader automation is intended; APIs/schemas not public</x:v>
      </x:c>
      <x:c r="M16" s="30" t="n">
        <x:v>1</x:v>
      </x:c>
      <x:c r="N16" s="26" t="str">
        <x:v>Official DOST-ASTI program portfolio</x:v>
      </x:c>
      <x:c r="O16" s="26" t="str">
        <x:v>Calibration, fouling, durability, cost, connectivity and action thresholds</x:v>
      </x:c>
      <x:c r="P16" s="26" t="str">
        <x:v>Open sensor-observation and calibration pilot</x:v>
      </x:c>
      <x:c r="Q16" s="32" t="str">
        <x:v>https://asti.dost.gov.ph/wp-content/uploads/ASTI-PPAs-2026-v2-FDL_17-June-26.pdf</x:v>
      </x:c>
      <x:c r="R16" s="26" t="str">
        <x:v>High</x:v>
      </x:c>
      <x:c r="S16" s="26" t="str"/>
      <x:c r="T16" s="26" t="str">
        <x:v>Not dedicated</x:v>
      </x:c>
    </x:row>
    <x:row r="17" ht="64" customHeight="1">
      <x:c r="A17" s="26" t="str">
        <x:v>RP-013</x:v>
      </x:c>
      <x:c r="B17" s="26" t="str">
        <x:v>D2-050</x:v>
      </x:c>
      <x:c r="C17" s="26" t="str">
        <x:v>FASTRAC Banana Drone Mapping and Analytics</x:v>
      </x:c>
      <x:c r="D17" s="26" t="str">
        <x:v>DOST-ASTI / DOST-PCIEERD and industry partners</x:v>
      </x:c>
      <x:c r="E17" s="26" t="n">
        <x:v>2026</x:v>
      </x:c>
      <x:c r="F17" s="26" t="str">
        <x:v>Banana</x:v>
      </x:c>
      <x:c r="G17" s="26" t="str">
        <x:v>UAV mapping, field validation and analytics</x:v>
      </x:c>
      <x:c r="H17" s="26" t="str">
        <x:v>Ongoing pre-commercial validation</x:v>
      </x:c>
      <x:c r="I17" s="26" t="str">
        <x:v>Pilot farms, plantations and LGUs; project to 2028</x:v>
      </x:c>
      <x:c r="J17" s="26" t="str">
        <x:v>No public source repository located</x:v>
      </x:c>
      <x:c r="K17" s="26" t="str">
        <x:v>Public R&amp;D / commercialization pathway; license not public</x:v>
      </x:c>
      <x:c r="L17" s="26" t="str">
        <x:v>Map/analytics integration is expected; no public service/API specification</x:v>
      </x:c>
      <x:c r="M17" s="30" t="n">
        <x:v>1</x:v>
      </x:c>
      <x:c r="N17" s="26" t="str">
        <x:v>Official DOST-ASTI portfolio</x:v>
      </x:c>
      <x:c r="O17" s="26" t="str">
        <x:v>Transferability, imagery cost, validation, workflow integration, privacy and business model</x:v>
      </x:c>
      <x:c r="P17" s="26" t="str">
        <x:v>Drone-model validation and geospatial interoperability pilot</x:v>
      </x:c>
      <x:c r="Q17" s="32" t="str">
        <x:v>https://asti.dost.gov.ph/wp-content/uploads/ASTI-PPAs-2026-v2-FDL_17-June-26.pdf</x:v>
      </x:c>
      <x:c r="R17" s="26" t="str">
        <x:v>High</x:v>
      </x:c>
      <x:c r="S17" s="26" t="str"/>
      <x:c r="T17" s="26" t="str">
        <x:v>Not dedicated</x:v>
      </x:c>
    </x:row>
    <x:row r="18" ht="64" customHeight="1">
      <x:c r="A18" s="26" t="str">
        <x:v>RP-014</x:v>
      </x:c>
      <x:c r="B18" s="26" t="str">
        <x:v>D2-130</x:v>
      </x:c>
      <x:c r="C18" s="26" t="str">
        <x:v>YABONG Coffee Decision-Support Application</x:v>
      </x:c>
      <x:c r="D18" s="26" t="str">
        <x:v>DOST-PCAARRD and future implementers</x:v>
      </x:c>
      <x:c r="E18" s="26" t="n">
        <x:v>2027</x:v>
      </x:c>
      <x:c r="F18" s="26" t="str">
        <x:v>Coffee</x:v>
      </x:c>
      <x:c r="G18" s="26" t="str">
        <x:v>Predictive phenology/yield, farm records, cost-return analysis and market linkage</x:v>
      </x:c>
      <x:c r="H18" s="26" t="str">
        <x:v>Proposed project</x:v>
      </x:c>
      <x:c r="I18" s="26" t="str">
        <x:v>FY2027 priority proposal; not yet operational</x:v>
      </x:c>
      <x:c r="J18" s="26" t="str">
        <x:v>Not yet developed / no public source</x:v>
      </x:c>
      <x:c r="K18" s="26" t="str">
        <x:v>License and ownership model should be set before development</x:v>
      </x:c>
      <x:c r="L18" s="26" t="str">
        <x:v>No API/export yet; should be a project requirement</x:v>
      </x:c>
      <x:c r="M18" s="30" t="n">
        <x:v>0</x:v>
      </x:c>
      <x:c r="N18" s="26" t="str">
        <x:v>Official budget proposal</x:v>
      </x:c>
      <x:c r="O18" s="26" t="str">
        <x:v>Funding, data, model validation, ownership, offline delivery and market integration</x:v>
      </x:c>
      <x:c r="P18" s="26" t="str">
        <x:v>Prospective reference implementation only if open standards are contractual</x:v>
      </x:c>
      <x:c r="Q18" s="32" t="str">
        <x:v>https://www.pcaarrd.dost.gov.ph/index.php/ts-documents/approved-budget-and-corresponding-targets/bp-forms/bp-forms-1/5200-proposed-tier-2-budget-level-for-fy-2027/file</x:v>
      </x:c>
      <x:c r="R18" s="26" t="str">
        <x:v>High</x:v>
      </x:c>
      <x:c r="S18" s="26" t="str"/>
      <x:c r="T18" s="26" t="str">
        <x:v>Not dedicated</x:v>
      </x:c>
    </x:row>
    <x:row r="19" ht="64" customHeight="1">
      <x:c r="A19" s="26" t="str">
        <x:v>RP-015</x:v>
      </x:c>
      <x:c r="B19" s="26" t="str">
        <x:v>D2-123</x:v>
      </x:c>
      <x:c r="C19" s="26" t="str">
        <x:v>CAPHE Coffee Harvest Estimator</x:v>
      </x:c>
      <x:c r="D19" s="26" t="str">
        <x:v>Project SARAi / UPLB / DOST-PCAARRD</x:v>
      </x:c>
      <x:c r="E19" s="26" t="n">
        <x:v>2020</x:v>
      </x:c>
      <x:c r="F19" s="26" t="str">
        <x:v>Coffee</x:v>
      </x:c>
      <x:c r="G19" s="26" t="str">
        <x:v>Linear phenological model and digital harvest-time estimation</x:v>
      </x:c>
      <x:c r="H19" s="26" t="str">
        <x:v>Historical research prototype</x:v>
      </x:c>
      <x:c r="I19" s="26" t="str">
        <x:v>Predecessor cited in YABONG proposal</x:v>
      </x:c>
      <x:c r="J19" s="26" t="str">
        <x:v>No official source repository located</x:v>
      </x:c>
      <x:c r="K19" s="26" t="str">
        <x:v>No public license identified</x:v>
      </x:c>
      <x:c r="L19" s="26" t="str">
        <x:v>No current API/export evidence</x:v>
      </x:c>
      <x:c r="M19" s="30" t="n">
        <x:v>1</x:v>
      </x:c>
      <x:c r="N19" s="26" t="str">
        <x:v>Official proposal documents research lineage</x:v>
      </x:c>
      <x:c r="O19" s="26" t="str">
        <x:v>Model climate responsiveness, current availability, documentation and maintenance</x:v>
      </x:c>
      <x:c r="P19" s="26" t="str">
        <x:v>Historical model lineage and validation dataset source</x:v>
      </x:c>
      <x:c r="Q19" s="32" t="str">
        <x:v>https://www.pcaarrd.dost.gov.ph/index.php/ts-documents/approved-budget-and-corresponding-targets/bp-forms/bp-forms-1/5200-proposed-tier-2-budget-level-for-fy-2027/file</x:v>
      </x:c>
      <x:c r="R19" s="26" t="str">
        <x:v>Medium</x:v>
      </x:c>
      <x:c r="S19" s="26" t="str"/>
      <x:c r="T19" s="26" t="str">
        <x:v>Not dedicated</x:v>
      </x:c>
    </x:row>
    <x:row r="20" ht="64" customHeight="1">
      <x:c r="A20" s="26" t="str">
        <x:v>RP-016</x:v>
      </x:c>
      <x:c r="B20" s="26" t="str">
        <x:v>D2-124</x:v>
      </x:c>
      <x:c r="C20" s="26" t="str">
        <x:v>BanaTech Banana Harvest Estimator</x:v>
      </x:c>
      <x:c r="D20" s="26" t="str">
        <x:v>Project SARAi / UPLB / DOST-PCAARRD</x:v>
      </x:c>
      <x:c r="E20" s="26" t="n">
        <x:v>2021</x:v>
      </x:c>
      <x:c r="F20" s="26" t="str">
        <x:v>Banana</x:v>
      </x:c>
      <x:c r="G20" s="26" t="str">
        <x:v>Linear phenological model and digital harvest-time estimation</x:v>
      </x:c>
      <x:c r="H20" s="26" t="str">
        <x:v>Historical research prototype</x:v>
      </x:c>
      <x:c r="I20" s="26" t="str">
        <x:v>Predecessor cited in YABONG proposal</x:v>
      </x:c>
      <x:c r="J20" s="26" t="str">
        <x:v>No official source repository located</x:v>
      </x:c>
      <x:c r="K20" s="26" t="str">
        <x:v>No public license identified</x:v>
      </x:c>
      <x:c r="L20" s="26" t="str">
        <x:v>No current API/export evidence</x:v>
      </x:c>
      <x:c r="M20" s="30" t="n">
        <x:v>1</x:v>
      </x:c>
      <x:c r="N20" s="26" t="str">
        <x:v>Official proposal documents research lineage</x:v>
      </x:c>
      <x:c r="O20" s="26" t="str">
        <x:v>Local calibration, current availability, validation and maintenance</x:v>
      </x:c>
      <x:c r="P20" s="26" t="str">
        <x:v>Historical model lineage and possible training/validation data source</x:v>
      </x:c>
      <x:c r="Q20" s="32" t="str">
        <x:v>https://www.pcaarrd.dost.gov.ph/index.php/ts-documents/approved-budget-and-corresponding-targets/bp-forms/bp-forms-1/5200-proposed-tier-2-budget-level-for-fy-2027/file</x:v>
      </x:c>
      <x:c r="R20" s="26" t="str">
        <x:v>Medium</x:v>
      </x:c>
      <x:c r="S20" s="26" t="str"/>
      <x:c r="T20" s="26" t="str">
        <x:v>Not dedicated</x:v>
      </x:c>
    </x:row>
    <x:row r="21" ht="64" customHeight="1">
      <x:c r="A21" s="26" t="str">
        <x:v>RP-017</x:v>
      </x:c>
      <x:c r="B21" s="26" t="str">
        <x:v>D2-120</x:v>
      </x:c>
      <x:c r="C21" s="26" t="str">
        <x:v>Water Balance-Assisted Irrigation Scheduler</x:v>
      </x:c>
      <x:c r="D21" s="26" t="str">
        <x:v>Project SARAi / UPLB / DOST-PCAARRD</x:v>
      </x:c>
      <x:c r="E21" s="26" t="n">
        <x:v>2021</x:v>
      </x:c>
      <x:c r="F21" s="26" t="str">
        <x:v>Multiple irrigated crops</x:v>
      </x:c>
      <x:c r="G21" s="26" t="str">
        <x:v>Web/mobile water-balance decision support with weather and soil-moisture inputs</x:v>
      </x:c>
      <x:c r="H21" s="26" t="str">
        <x:v>Field-demonstration prototype</x:v>
      </x:c>
      <x:c r="I21" s="26" t="str">
        <x:v>SARAi field demonstrations and technology transfer</x:v>
      </x:c>
      <x:c r="J21" s="26" t="str">
        <x:v>No official source repository located</x:v>
      </x:c>
      <x:c r="K21" s="26" t="str">
        <x:v>No public license identified</x:v>
      </x:c>
      <x:c r="L21" s="26" t="str">
        <x:v>Sensor/web/mobile link is documented; public API and schemas not found</x:v>
      </x:c>
      <x:c r="M21" s="30" t="n">
        <x:v>1</x:v>
      </x:c>
      <x:c r="N21" s="26" t="str">
        <x:v>DOST-PCAARRD technology and project documentation</x:v>
      </x:c>
      <x:c r="O21" s="26" t="str">
        <x:v>Current availability, calibration, ownership and overlap with other irrigation tools</x:v>
      </x:c>
      <x:c r="P21" s="26" t="str">
        <x:v>Algorithm comparison and irrigation-data standards pilot</x:v>
      </x:c>
      <x:c r="Q21" s="32" t="str">
        <x:v>https://ispweb.pcaarrd.dost.gov.ph/tag/technologies/page/8/</x:v>
      </x:c>
      <x:c r="R21" s="26" t="str">
        <x:v>Medium</x:v>
      </x:c>
      <x:c r="S21" s="26" t="str"/>
      <x:c r="T21" s="26" t="str">
        <x:v>Not dedicated</x:v>
      </x:c>
    </x:row>
    <x:row r="22" ht="64" customHeight="1">
      <x:c r="A22" s="26" t="str">
        <x:v>RP-018</x:v>
      </x:c>
      <x:c r="B22" s="26" t="str">
        <x:v>D2-131</x:v>
      </x:c>
      <x:c r="C22" s="26" t="str">
        <x:v>IRISDD Rubber Diagnostic and Monitoring System</x:v>
      </x:c>
      <x:c r="D22" s="26" t="str">
        <x:v>Philippine Rubber Research Institute / DOST-PCAARRD</x:v>
      </x:c>
      <x:c r="E22" s="26" t="n">
        <x:v>2025</x:v>
      </x:c>
      <x:c r="F22" s="26" t="str">
        <x:v>Rubber</x:v>
      </x:c>
      <x:c r="G22" s="26" t="str">
        <x:v>Image classifier, mobile diagnosis, centralized database, monitoring and expert clinic</x:v>
      </x:c>
      <x:c r="H22" s="26" t="str">
        <x:v>Advanced R&amp;D deployment</x:v>
      </x:c>
      <x:c r="I22" s="26" t="str">
        <x:v>90 plantations surveyed; online/mobile service</x:v>
      </x:c>
      <x:c r="J22" s="26" t="str">
        <x:v>No official source repository located</x:v>
      </x:c>
      <x:c r="K22" s="26" t="str">
        <x:v>No public license or model card located</x:v>
      </x:c>
      <x:c r="L22" s="26" t="str">
        <x:v>Web/mobile/clinic components integrate internally; public API/export not documented</x:v>
      </x:c>
      <x:c r="M22" s="30" t="n">
        <x:v>2</x:v>
      </x:c>
      <x:c r="N22" s="26" t="str">
        <x:v>50,000-image database reported in 2026 official update</x:v>
      </x:c>
      <x:c r="O22" s="26" t="str">
        <x:v>Model drift, independent validation, data rights, expert workload and system maintenance</x:v>
      </x:c>
      <x:c r="P22" s="26" t="str">
        <x:v>High-priority diagnostic/surveillance connector after model and API due diligence</x:v>
      </x:c>
      <x:c r="Q22" s="32" t="str">
        <x:v>https://www.pcaarrd.dost.gov.ph/index.php/quick-information-dispatch-qid-articles/artificial-intelligence-based-detection-system-developed-to-manage-rubber-diseases-and-insect-pests</x:v>
      </x:c>
      <x:c r="R22" s="26" t="str">
        <x:v>High</x:v>
      </x:c>
      <x:c r="S22" s="26" t="str"/>
      <x:c r="T22" s="26" t="str">
        <x:v>Not dedicated</x:v>
      </x:c>
    </x:row>
    <x:row r="23" ht="64" customHeight="1">
      <x:c r="A23" s="26" t="str">
        <x:v>RP-019</x:v>
      </x:c>
      <x:c r="B23" s="26" t="str">
        <x:v>D2-125</x:v>
      </x:c>
      <x:c r="C23" s="26" t="str">
        <x:v>Traco Cacao Traceability Prototype</x:v>
      </x:c>
      <x:c r="D23" s="26" t="str">
        <x:v>University of Southeastern Philippines / DOST-PCAARRD / BARBCO</x:v>
      </x:c>
      <x:c r="E23" s="26" t="n">
        <x:v>2025</x:v>
      </x:c>
      <x:c r="F23" s="26" t="str">
        <x:v>Cacao</x:v>
      </x:c>
      <x:c r="G23" s="26" t="str">
        <x:v>Mobile records, transaction/price monitoring and distributed ledger traceability</x:v>
      </x:c>
      <x:c r="H23" s="26" t="str">
        <x:v>Completed prototype / technology transfer</x:v>
      </x:c>
      <x:c r="I23" s="26" t="str">
        <x:v>102 users trained; cooperative commercialization arrangement</x:v>
      </x:c>
      <x:c r="J23" s="26" t="str">
        <x:v>No official public source repository located</x:v>
      </x:c>
      <x:c r="K23" s="26" t="str">
        <x:v>Output ownership and temporary commercialization rights are documented; software license is not public</x:v>
      </x:c>
      <x:c r="L23" s="26" t="str">
        <x:v>Record extraction and CTE/KDE framework documented; API/schema not public</x:v>
      </x:c>
      <x:c r="M23" s="30" t="n">
        <x:v>2</x:v>
      </x:c>
      <x:c r="N23" s="26" t="str">
        <x:v>Terminal review and cooperative use case</x:v>
      </x:c>
      <x:c r="O23" s="26" t="str">
        <x:v>Open standards, ledger governance, long-term support, data rights and commercial exclusivity</x:v>
      </x:c>
      <x:c r="P23" s="26" t="str">
        <x:v>Traceability interoperability pilot using CTE/KDE mapping</x:v>
      </x:c>
      <x:c r="Q23" s="32" t="str">
        <x:v>https://www.pcaarrd.dost.gov.ph/index.php/quick-information-dispatch-qid-articles/dost-pcaarrd-and-usep-advance-cacao-traceability-system-in-southern-philippines</x:v>
      </x:c>
      <x:c r="R23" s="26" t="str">
        <x:v>High</x:v>
      </x:c>
      <x:c r="S23" s="26" t="str"/>
      <x:c r="T23" s="26" t="str">
        <x:v>Not dedicated</x:v>
      </x:c>
    </x:row>
    <x:row r="24" ht="64" customHeight="1">
      <x:c r="A24" s="26" t="str">
        <x:v>RP-020</x:v>
      </x:c>
      <x:c r="B24" s="26" t="str">
        <x:v>D2-126</x:v>
      </x:c>
      <x:c r="C24" s="26" t="str">
        <x:v>TALA Isdaan FLA Monitoring Application</x:v>
      </x:c>
      <x:c r="D24" s="26" t="str">
        <x:v>UP Los Baños / DOST-PCAARRD</x:v>
      </x:c>
      <x:c r="E24" s="26" t="n">
        <x:v>2025</x:v>
      </x:c>
      <x:c r="F24" s="26" t="str">
        <x:v>Aquaculture governance</x:v>
      </x:c>
      <x:c r="G24" s="26" t="str">
        <x:v>Mobile data collection, real-time map and spatial visualization</x:v>
      </x:c>
      <x:c r="H24" s="26" t="str">
        <x:v>Advanced research output / demonstration</x:v>
      </x:c>
      <x:c r="I24" s="26" t="str">
        <x:v>Fishpond Lease Agreement monitoring</x:v>
      </x:c>
      <x:c r="J24" s="26" t="str">
        <x:v>No official public source repository located</x:v>
      </x:c>
      <x:c r="K24" s="26" t="str">
        <x:v>No public license identified</x:v>
      </x:c>
      <x:c r="L24" s="26" t="str">
        <x:v>Mobile-map integration documented; API/export not public</x:v>
      </x:c>
      <x:c r="M24" s="30" t="n">
        <x:v>2</x:v>
      </x:c>
      <x:c r="N24" s="26" t="str">
        <x:v>Official PCAARRD showcase</x:v>
      </x:c>
      <x:c r="O24" s="26" t="str">
        <x:v>Authoritative FLA identifiers, BFAR integration, data quality, user roles and hosting</x:v>
      </x:c>
      <x:c r="P24" s="26" t="str">
        <x:v>Spatial-governance interoperability pilot</x:v>
      </x:c>
      <x:c r="Q24" s="32" t="str">
        <x:v>https://www.pcaarrd.dost.gov.ph/index.php/quick-information-dispatch-qid-articles/advancing-sustainable-farming-dost-pcaarrd-features-smart-agri-aqua-technologies-at-the-2025-nstw</x:v>
      </x:c>
      <x:c r="R24" s="26" t="str">
        <x:v>High</x:v>
      </x:c>
      <x:c r="S24" s="26" t="str"/>
      <x:c r="T24" s="26" t="str">
        <x:v>Not dedicated</x:v>
      </x:c>
    </x:row>
    <x:row r="25" ht="64" customHeight="1">
      <x:c r="A25" s="26" t="str">
        <x:v>RP-021</x:v>
      </x:c>
      <x:c r="B25" s="26" t="str"/>
      <x:c r="C25" s="26" t="str">
        <x:v>IRISDD Pilot Mobile App and Online Clinic</x:v>
      </x:c>
      <x:c r="D25" s="26" t="str">
        <x:v>Philippine Rubber Research Institute</x:v>
      </x:c>
      <x:c r="E25" s="26" t="n">
        <x:v>2025</x:v>
      </x:c>
      <x:c r="F25" s="26" t="str">
        <x:v>Rubber</x:v>
      </x:c>
      <x:c r="G25" s="26" t="str">
        <x:v>Android diagnosis, online expert clinic and surveillance</x:v>
      </x:c>
      <x:c r="H25" s="26" t="str">
        <x:v>Pilot testing / deployment</x:v>
      </x:c>
      <x:c r="I25" s="26" t="str">
        <x:v>Kidapawan and rubber-producing regions</x:v>
      </x:c>
      <x:c r="J25" s="26" t="str">
        <x:v>No official source repository located</x:v>
      </x:c>
      <x:c r="K25" s="26" t="str">
        <x:v>No public license identified</x:v>
      </x:c>
      <x:c r="L25" s="26" t="str">
        <x:v>Web platform and Android-compatible service are public; no API docs</x:v>
      </x:c>
      <x:c r="M25" s="30" t="n">
        <x:v>2</x:v>
      </x:c>
      <x:c r="N25" s="26" t="str">
        <x:v>Official PCAARRD/PRRI reports</x:v>
      </x:c>
      <x:c r="O25" s="26" t="str">
        <x:v>Model validation, connectivity, case resolution and interoperability with surveillance systems</x:v>
      </x:c>
      <x:c r="P25" s="26" t="str">
        <x:v>Developer/system validation record for the main IRISDD entry</x:v>
      </x:c>
      <x:c r="Q25" s="32" t="str">
        <x:v>https://irisdd.net/about/</x:v>
      </x:c>
      <x:c r="R25" s="26" t="str">
        <x:v>High</x:v>
      </x:c>
      <x:c r="S25" s="26" t="str"/>
      <x:c r="T25" s="26" t="str">
        <x:v>Not dedicated</x:v>
      </x:c>
    </x:row>
    <x:row r="26" ht="68" customHeight="1">
      <x:c r="A26" s="26" t="str">
        <x:v>RP-022</x:v>
      </x:c>
      <x:c r="B26" s="26" t="str"/>
      <x:c r="C26" s="26" t="str">
        <x:v>Smart Poultry Prototype for Small-Scale Poultry Farmers at Ilocos Norte</x:v>
      </x:c>
      <x:c r="D26" s="26" t="str">
        <x:v>University of the Cordilleras researchers</x:v>
      </x:c>
      <x:c r="E26" s="26" t="n">
        <x:v>2024</x:v>
      </x:c>
      <x:c r="F26" s="26" t="str">
        <x:v>Poultry / chicken</x:v>
      </x:c>
      <x:c r="G26" s="26" t="str">
        <x:v>Wireless sensors and mobile-linked control for temperature, humidity, ammonia, fans, heat lamps, feed and water</x:v>
      </x:c>
      <x:c r="H26" s="26" t="str">
        <x:v>Published research prototype</x:v>
      </x:c>
      <x:c r="I26" s="26" t="str">
        <x:v>Designed around the needs and constraints of small-scale poultry farmers in Ilocos Norte</x:v>
      </x:c>
      <x:c r="J26" s="26" t="str">
        <x:v>No official public source repository located</x:v>
      </x:c>
      <x:c r="K26" s="26" t="str">
        <x:v>No public software/hardware license identified</x:v>
      </x:c>
      <x:c r="L26" s="26" t="str">
        <x:v>Sensor/mobile integration is described; no public API, data schema or export specification</x:v>
      </x:c>
      <x:c r="M26" s="30" t="n">
        <x:v>1</x:v>
      </x:c>
      <x:c r="N26" s="26" t="str">
        <x:v>Peer-reviewed prototype paper documents the design and environmental-control objectives</x:v>
      </x:c>
      <x:c r="O26" s="26" t="str">
        <x:v>Field-duration testing, device cost, calibration, durability, electrical safety, biosecurity and operational support</x:v>
      </x:c>
      <x:c r="P26" s="26" t="str">
        <x:v>Poultry environmental-monitoring and automation sandbox; not an operational national app</x:v>
      </x:c>
      <x:c r="Q26" s="32" t="str">
        <x:v>https://rsisinternational.org/journals/ijrsi/articles/prototype-of-smart-poultry-for-small-scale-poultry-farmers-at-ilocos-norte/</x:v>
      </x:c>
      <x:c r="R26" s="26" t="str">
        <x:v>High</x:v>
      </x:c>
      <x:c r="S26" s="26" t="str">
        <x:v>Dedicated poultry prototype; keep separate from operational platforms.</x:v>
      </x:c>
      <x:c r="T26" s="26" t="str">
        <x:v>Dedicated — poultry/chicken/duck</x:v>
      </x:c>
    </x:row>
    <x:row r="27" ht="68" customHeight="1">
      <x:c r="A27" s="26" t="str">
        <x:v>RP-023</x:v>
      </x:c>
      <x:c r="B27" s="26" t="str"/>
      <x:c r="C27" s="26" t="str">
        <x:v>e-TUBONG Automated Poultry Feeding Machine with Android Application</x:v>
      </x:c>
      <x:c r="D27" s="26" t="str">
        <x:v>Eastern Samar State University</x:v>
      </x:c>
      <x:c r="E27" s="26" t="n">
        <x:v>2024</x:v>
      </x:c>
      <x:c r="F27" s="26" t="str">
        <x:v>Poultry / chicken</x:v>
      </x:c>
      <x:c r="G27" s="26" t="str">
        <x:v>Android application, SMS communication, microcontroller and automated feed dispensing</x:v>
      </x:c>
      <x:c r="H27" s="26" t="str">
        <x:v>Published research prototype</x:v>
      </x:c>
      <x:c r="I27" s="26" t="str">
        <x:v>Evaluated using ISO 9126; proposed for small-scale and commercial poultry operations</x:v>
      </x:c>
      <x:c r="J27" s="26" t="str">
        <x:v>No official public source repository located</x:v>
      </x:c>
      <x:c r="K27" s="26" t="str">
        <x:v>No public software/hardware license identified</x:v>
      </x:c>
      <x:c r="L27" s="26" t="str">
        <x:v>Android-to-device SMS scheduling and feedback are documented; no API or portable data export</x:v>
      </x:c>
      <x:c r="M27" s="30" t="n">
        <x:v>1</x:v>
      </x:c>
      <x:c r="N27" s="26" t="str">
        <x:v>Published evaluation reported strong functionality, reliability, usability, efficiency, maintainability and portability scores</x:v>
      </x:c>
      <x:c r="O27" s="26" t="str">
        <x:v>Long-term farm testing, dispensing accuracy, feed safety, GSM cost/reliability, hardware maintenance and product ownership</x:v>
      </x:c>
      <x:c r="P27" s="26" t="str">
        <x:v>Low-bandwidth poultry-feeding automation prototype and interoperability test case</x:v>
      </x:c>
      <x:c r="Q27" s="32" t="str">
        <x:v>https://www.sci-int.com/pdf/638658795143962457.%20Cantilang1%2C%20Niel%20Francis%20B.%20Casillano%20-PHILIP-28-10-24.edited.pdf</x:v>
      </x:c>
      <x:c r="R27" s="26" t="str">
        <x:v>High</x:v>
      </x:c>
      <x:c r="S27" s="26" t="str">
        <x:v>Uses SMS rather than a cloud API, which may support low-connectivity contexts but limits data integration.</x:v>
      </x:c>
      <x:c r="T27" s="26" t="str">
        <x:v>Dedicated — poultry/chicken/duck</x:v>
      </x:c>
    </x:row>
    <x:row r="28" ht="68" customHeight="1">
      <x:c r="A28" s="26" t="str">
        <x:v>RP-024</x:v>
      </x:c>
      <x:c r="B28" s="26" t="str"/>
      <x:c r="C28" s="26" t="str">
        <x:v>IncuVision Android-Based Egg Incubator with Machine Learning and OpenCV</x:v>
      </x:c>
      <x:c r="D28" s="26" t="str">
        <x:v>Davao del Sur State College researchers</x:v>
      </x:c>
      <x:c r="E28" s="26" t="n">
        <x:v>2026</x:v>
      </x:c>
      <x:c r="F28" s="26" t="str">
        <x:v>Poultry hatchery / chicken eggs</x:v>
      </x:c>
      <x:c r="G28" s="26" t="str">
        <x:v>Android application, machine learning, OpenCV, real-time egg status, embryo-stage monitoring and visualizations</x:v>
      </x:c>
      <x:c r="H28" s="26" t="str">
        <x:v>Published research prototype</x:v>
      </x:c>
      <x:c r="I28" s="26" t="str">
        <x:v>Evaluated by IT faculty, an advisory committee and egg farmers using software-quality criteria</x:v>
      </x:c>
      <x:c r="J28" s="26" t="str">
        <x:v>No official public source repository located</x:v>
      </x:c>
      <x:c r="K28" s="26" t="str">
        <x:v>No public software/model license or model card identified</x:v>
      </x:c>
      <x:c r="L28" s="26" t="str">
        <x:v>Real-time application data and visualizations are described; no public API, dataset or export specification</x:v>
      </x:c>
      <x:c r="M28" s="30" t="n">
        <x:v>1</x:v>
      </x:c>
      <x:c r="N28" s="26" t="str">
        <x:v>Published study reports a general weighted evaluation mean of 4.30</x:v>
      </x:c>
      <x:c r="O28" s="26" t="str">
        <x:v>Independent hatchery validation, image-dataset diversity, model accuracy by stage, device reliability, safe failure modes and maintenance</x:v>
      </x:c>
      <x:c r="P28" s="26" t="str">
        <x:v>Hatchery computer-vision benchmark and responsible-AI validation candidate</x:v>
      </x:c>
      <x:c r="Q28" s="32" t="str">
        <x:v>https://publishing.pup.edu.ph/ojs/index.php/PUP-JST/article/view/551</x:v>
      </x:c>
      <x:c r="R28" s="26" t="str">
        <x:v>High</x:v>
      </x:c>
      <x:c r="S28" s="26" t="str">
        <x:v>Promising hatchery prototype, but not evidence of maintained commercial or government deployment.</x:v>
      </x:c>
      <x:c r="T28" s="26" t="str">
        <x:v>Dedicated — poultry/chicken/duck</x:v>
      </x:c>
    </x:row>
    <x:row r="29" ht="68" customHeight="1">
      <x:c r="A29" s="26" t="str">
        <x:v>RP-025</x:v>
      </x:c>
      <x:c r="B29" s="26" t="str"/>
      <x:c r="C29" s="26" t="str">
        <x:v>Automatic Feeds Dispenser for Sow and Milk Feeding of Piglets with SMS Notification</x:v>
      </x:c>
      <x:c r="D29" s="26" t="str">
        <x:v>Letran Calamba student researchers</x:v>
      </x:c>
      <x:c r="E29" s="26" t="n">
        <x:v>2019</x:v>
      </x:c>
      <x:c r="F29" s="26" t="str">
        <x:v>Swine / sow and piglets</x:v>
      </x:c>
      <x:c r="G29" s="26" t="str">
        <x:v>Scheduled pellet and milk dispensing, pH sensing, GSM/SMS control and notifications</x:v>
      </x:c>
      <x:c r="H29" s="26" t="str">
        <x:v>Published student design prototype</x:v>
      </x:c>
      <x:c r="I29" s="26" t="str">
        <x:v>Designed for backyard piggeries or commercial breeders</x:v>
      </x:c>
      <x:c r="J29" s="26" t="str">
        <x:v>No official public source repository located</x:v>
      </x:c>
      <x:c r="K29" s="26" t="str">
        <x:v>No public software/hardware license identified</x:v>
      </x:c>
      <x:c r="L29" s="26" t="str">
        <x:v>SMS remote control and notifications are documented; no app, API or data export</x:v>
      </x:c>
      <x:c r="M29" s="30" t="n">
        <x:v>1</x:v>
      </x:c>
      <x:c r="N29" s="26" t="str">
        <x:v>Published abstract reports scheduled dispensing and remote SMS operation</x:v>
      </x:c>
      <x:c r="O29" s="26" t="str">
        <x:v>Dispensing accuracy, network reliability, milk hygiene, backup power, animal safety and sustained technical support</x:v>
      </x:c>
      <x:c r="P29" s="26" t="str">
        <x:v>Historical swine-automation prototype and low-bandwidth design reference</x:v>
      </x:c>
      <x:c r="Q29" s="32" t="str">
        <x:v>https://ejournals.ph/article.php?id=18788</x:v>
      </x:c>
      <x:c r="R29" s="26" t="str">
        <x:v>High</x:v>
      </x:c>
      <x:c r="S29" s="26" t="str">
        <x:v>Research recommendations included improved load sensing, better GSM connectivity, Android monitoring and backup power.</x:v>
      </x:c>
      <x:c r="T29" s="26" t="str">
        <x:v>Dedicated — swine/native pig</x:v>
      </x:c>
    </x:row>
  </x:sheetData>
  <x:mergeCells>
    <x:mergeCell ref="A1:T1"/>
    <x:mergeCell ref="A2:T2"/>
  </x:mergeCells>
  <x:conditionalFormatting sqref="M5:M25">
    <x:cfRule type="colorScale" priority="1">
      <x:colorScale>
        <x:cfvo type="min"/>
        <x:cfvo type="percentile" val="50"/>
        <x:cfvo type="max"/>
        <x:color rgb="FFF5C6C3"/>
        <x:color rgb="FFFFF0B3"/>
        <x:color rgb="FFC4E5B9"/>
      </x:colorScale>
    </x:cfRule>
  </x:conditionalFormatting>
  <x:conditionalFormatting sqref="M26:M29">
    <x:cfRule type="colorScale" priority="2">
      <x:colorScale>
        <x:cfvo type="min"/>
        <x:cfvo type="percentile" val="50"/>
        <x:cfvo type="max"/>
        <x:color rgb="FFF5C6C3"/>
        <x:color rgb="FFFFF0B3"/>
        <x:color rgb="FFC4E5B9"/>
      </x:colorScale>
    </x:cfRule>
  </x:conditionalFormatting>
  <x:pageMargins left="0.7" right="0.7" top="0.75" bottom="0.75" header="0.3" footer="0.3"/>
  <x:tableParts count="1">
    <x:tablePart xmlns:r="http://schemas.openxmlformats.org/officeDocument/2006/relationships" r:id="Rbcbb4f7ed90748c9"/>
  </x:tableParts>
</x:worksheet>
</file>

<file path=xl/worksheets/sheet10.xml><?xml version="1.0" encoding="utf-8"?>
<x:worksheet xmlns:x="http://schemas.openxmlformats.org/spreadsheetml/2006/main">
  <x:sheetFormatPr defaultRowHeight="15"/>
  <x:cols>
    <x:col min="1" max="1" width="42" hidden="0" customWidth="1"/>
    <x:col min="2" max="2" width="16" hidden="0" customWidth="1"/>
    <x:col min="3" max="3" width="3" hidden="0" customWidth="1"/>
    <x:col min="4" max="4" width="10" hidden="0" customWidth="1"/>
    <x:col min="5" max="5" width="34" hidden="0" customWidth="1"/>
    <x:col min="6" max="6" width="12" hidden="0" customWidth="1"/>
    <x:col min="7" max="7" width="39" hidden="0" customWidth="1"/>
    <x:col min="8" max="8" width="36" hidden="0" customWidth="1"/>
    <x:col min="9" max="9" width="30" hidden="0" customWidth="1"/>
    <x:col min="10" max="10" width="24" hidden="0" customWidth="1"/>
    <x:col min="11" max="11" width="15" hidden="0" customWidth="1"/>
    <x:col min="12" max="12" width="36" hidden="0" customWidth="1"/>
  </x:cols>
  <x:sheetData>
    <x:row r="1" ht="36" customHeight="1">
      <x:c r="A1" s="85" t="str">
        <x:v>DATS 2.0 Multi-Label Functional Category Crosswalk</x:v>
      </x:c>
      <x:c r="B1" s="85" t="str">
        <x:v>DATS 2.0 Multi-Label Functional Category Crosswalk</x:v>
      </x:c>
      <x:c r="C1" s="85" t="str">
        <x:v>DATS 2.0 Multi-Label Functional Category Crosswalk</x:v>
      </x:c>
      <x:c r="D1" s="85" t="str">
        <x:v>DATS 2.0 Multi-Label Functional Category Crosswalk</x:v>
      </x:c>
      <x:c r="E1" s="85" t="str">
        <x:v>DATS 2.0 Multi-Label Functional Category Crosswalk</x:v>
      </x:c>
      <x:c r="F1" s="85" t="str">
        <x:v>DATS 2.0 Multi-Label Functional Category Crosswalk</x:v>
      </x:c>
      <x:c r="G1" s="85" t="str">
        <x:v>DATS 2.0 Multi-Label Functional Category Crosswalk</x:v>
      </x:c>
      <x:c r="H1" s="85" t="str">
        <x:v>DATS 2.0 Multi-Label Functional Category Crosswalk</x:v>
      </x:c>
      <x:c r="I1" s="85" t="str">
        <x:v>DATS 2.0 Multi-Label Functional Category Crosswalk</x:v>
      </x:c>
      <x:c r="J1" s="85" t="str">
        <x:v>DATS 2.0 Multi-Label Functional Category Crosswalk</x:v>
      </x:c>
      <x:c r="K1" s="85" t="str">
        <x:v>DATS 2.0 Multi-Label Functional Category Crosswalk</x:v>
      </x:c>
      <x:c r="L1" s="85" t="str">
        <x:v>DATS 2.0 Multi-Label Functional Category Crosswalk</x:v>
      </x:c>
    </x:row>
    <x:row r="2" ht="32" customHeight="1">
      <x:c r="A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B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C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D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E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F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G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H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I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J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K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c r="L2" s="88" t="str">
        <x:v>Each system has one primary category for distinct dashboard counts and zero or more secondary categories. Counts on this sheet intentionally overlap: one system can contribute to several functional categories. Commodity/species, value-chain and technology tags remain separate classification dimensions.</x:v>
      </x:c>
    </x:row>
    <x:row r="4">
      <x:c r="A4" s="82" t="str">
        <x:v>Functional Category</x:v>
      </x:c>
      <x:c r="B4" s="82" t="str">
        <x:v>Systems Covering Category</x:v>
      </x:c>
      <x:c r="D4" s="82" t="str">
        <x:v>DATS2_ID</x:v>
      </x:c>
      <x:c r="E4" s="82" t="str">
        <x:v>System / Tool</x:v>
      </x:c>
      <x:c r="F4" s="82" t="str">
        <x:v>Category Role</x:v>
      </x:c>
      <x:c r="G4" s="82" t="str">
        <x:v>Functional Category</x:v>
      </x:c>
      <x:c r="H4" s="82" t="str">
        <x:v>Commodity / Species Tags</x:v>
      </x:c>
      <x:c r="I4" s="82" t="str">
        <x:v>Livestock / Poultry Coverage</x:v>
      </x:c>
      <x:c r="J4" s="82" t="str">
        <x:v>Operating Status</x:v>
      </x:c>
      <x:c r="K4" s="82" t="str">
        <x:v>SINAG Priority</x:v>
      </x:c>
      <x:c r="L4" s="82" t="str">
        <x:v>Developer / Owner</x:v>
      </x:c>
    </x:row>
    <x:row r="5" ht="42" customHeight="1">
      <x:c r="A5" s="26" t="str">
        <x:v>Registry &amp; digital identity</x:v>
      </x:c>
      <x:c r="B5" s="30" t="n">
        <x:f>COUNTIF(G5:G800,A5)</x:f>
        <x:v>19</x:v>
      </x:c>
      <x:c r="D5" s="26" t="str">
        <x:v>D2-001</x:v>
      </x:c>
      <x:c r="E5" s="26" t="str">
        <x:v>Digital Agriculture Tools and Services in the Philippines</x:v>
      </x:c>
      <x:c r="F5" s="26" t="str">
        <x:v>Primary</x:v>
      </x:c>
      <x:c r="G5" s="26" t="str">
        <x:v>Data infrastructure, interoperability &amp; dashboards</x:v>
      </x:c>
      <x:c r="H5" s="26" t="str">
        <x:v>Cross-sector</x:v>
      </x:c>
      <x:c r="I5" s="26" t="str">
        <x:v>Not dedicated</x:v>
      </x:c>
      <x:c r="J5" s="26" t="str">
        <x:v>Status unverified / live site inaccessible</x:v>
      </x:c>
      <x:c r="K5" s="26" t="str">
        <x:v>High</x:v>
      </x:c>
      <x:c r="L5" s="26" t="str">
        <x:v>DA-BAR, IRRI and DA-RID</x:v>
      </x:c>
    </x:row>
    <x:row r="6" ht="42" customHeight="1">
      <x:c r="A6" s="26" t="str">
        <x:v>Advisory &amp; e-extension</x:v>
      </x:c>
      <x:c r="B6" s="30" t="n">
        <x:f>COUNTIF(G5:G800,A6)</x:f>
        <x:v>43</x:v>
      </x:c>
      <x:c r="D6" s="26" t="str">
        <x:v>D2-002</x:v>
      </x:c>
      <x:c r="E6" s="26" t="str">
        <x:v>Registry System for Basic Sectors in Agriculture / National Farmers and Fisherfolk Registry System</x:v>
      </x:c>
      <x:c r="F6" s="26" t="str">
        <x:v>Primary</x:v>
      </x:c>
      <x:c r="G6" s="26" t="str">
        <x:v>Registry &amp; digital identity</x:v>
      </x:c>
      <x:c r="H6" s="26" t="str">
        <x:v>Cross-sector; Fisheries &amp; aquaculture</x:v>
      </x:c>
      <x:c r="I6" s="26" t="str">
        <x:v>Not dedicated</x:v>
      </x:c>
      <x:c r="J6" s="26" t="str">
        <x:v>Active / operational</x:v>
      </x:c>
      <x:c r="K6" s="26" t="str">
        <x:v>High</x:v>
      </x:c>
      <x:c r="L6" s="26" t="str">
        <x:v>Department of Agriculture</x:v>
      </x:c>
    </x:row>
    <x:row r="7" ht="42" customHeight="1">
      <x:c r="A7" s="26" t="str">
        <x:v>Farm management &amp; decision support</x:v>
      </x:c>
      <x:c r="B7" s="30" t="n">
        <x:f>COUNTIF(G5:G800,A7)</x:f>
        <x:v>18</x:v>
      </x:c>
      <x:c r="D7" s="26" t="str">
        <x:v>D2-002</x:v>
      </x:c>
      <x:c r="E7" s="26" t="str">
        <x:v>Registry System for Basic Sectors in Agriculture / National Farmers and Fisherfolk Registry System</x:v>
      </x:c>
      <x:c r="F7" s="26" t="str">
        <x:v>Secondary</x:v>
      </x:c>
      <x:c r="G7" s="26" t="str">
        <x:v>Fisheries &amp; aquaculture</x:v>
      </x:c>
      <x:c r="H7" s="26" t="str">
        <x:v>Cross-sector; Fisheries &amp; aquaculture</x:v>
      </x:c>
      <x:c r="I7" s="26" t="str">
        <x:v>Not dedicated</x:v>
      </x:c>
      <x:c r="J7" s="26" t="str">
        <x:v>Active / operational</x:v>
      </x:c>
      <x:c r="K7" s="26" t="str">
        <x:v>High</x:v>
      </x:c>
      <x:c r="L7" s="26" t="str">
        <x:v>Department of Agriculture</x:v>
      </x:c>
    </x:row>
    <x:row r="8" ht="42" customHeight="1">
      <x:c r="A8" s="26" t="str">
        <x:v>Climate, weather &amp; early warning</x:v>
      </x:c>
      <x:c r="B8" s="30" t="n">
        <x:f>COUNTIF(G5:G800,A8)</x:f>
        <x:v>17</x:v>
      </x:c>
      <x:c r="D8" s="26" t="str">
        <x:v>D2-002</x:v>
      </x:c>
      <x:c r="E8" s="26" t="str">
        <x:v>Registry System for Basic Sectors in Agriculture / National Farmers and Fisherfolk Registry System</x:v>
      </x:c>
      <x:c r="F8" s="26" t="str">
        <x:v>Secondary</x:v>
      </x:c>
      <x:c r="G8" s="26" t="str">
        <x:v>Data infrastructure, interoperability &amp; dashboards</x:v>
      </x:c>
      <x:c r="H8" s="26" t="str">
        <x:v>Cross-sector; Fisheries &amp; aquaculture</x:v>
      </x:c>
      <x:c r="I8" s="26" t="str">
        <x:v>Not dedicated</x:v>
      </x:c>
      <x:c r="J8" s="26" t="str">
        <x:v>Active / operational</x:v>
      </x:c>
      <x:c r="K8" s="26" t="str">
        <x:v>High</x:v>
      </x:c>
      <x:c r="L8" s="26" t="str">
        <x:v>Department of Agriculture</x:v>
      </x:c>
    </x:row>
    <x:row r="9" ht="42" customHeight="1">
      <x:c r="A9" s="26" t="str">
        <x:v>Precision agriculture, EO, drones &amp; IoT</x:v>
      </x:c>
      <x:c r="B9" s="30" t="n">
        <x:f>COUNTIF(G5:G800,A9)</x:f>
        <x:v>32</x:v>
      </x:c>
      <x:c r="D9" s="26" t="str">
        <x:v>D2-003</x:v>
      </x:c>
      <x:c r="E9" s="26" t="str">
        <x:v>RSBSA Finder</x:v>
      </x:c>
      <x:c r="F9" s="26" t="str">
        <x:v>Primary</x:v>
      </x:c>
      <x:c r="G9" s="26" t="str">
        <x:v>Registry &amp; digital identity</x:v>
      </x:c>
      <x:c r="H9" s="26" t="str">
        <x:v>Cross-sector</x:v>
      </x:c>
      <x:c r="I9" s="26" t="str">
        <x:v>Not dedicated</x:v>
      </x:c>
      <x:c r="J9" s="26" t="str">
        <x:v>Active / operational</x:v>
      </x:c>
      <x:c r="K9" s="26" t="str">
        <x:v>High</x:v>
      </x:c>
      <x:c r="L9" s="26" t="str">
        <x:v>Department of Agriculture</x:v>
      </x:c>
    </x:row>
    <x:row r="10" ht="42" customHeight="1">
      <x:c r="A10" s="26" t="str">
        <x:v>Pest, disease &amp; biosecurity</x:v>
      </x:c>
      <x:c r="B10" s="30" t="n">
        <x:f>COUNTIF(G5:G800,A10)</x:f>
        <x:v>12</x:v>
      </x:c>
      <x:c r="D10" s="26" t="str">
        <x:v>D2-003</x:v>
      </x:c>
      <x:c r="E10" s="26" t="str">
        <x:v>RSBSA Finder</x:v>
      </x:c>
      <x:c r="F10" s="26" t="str">
        <x:v>Secondary</x:v>
      </x:c>
      <x:c r="G10" s="26" t="str">
        <x:v>Fisheries &amp; aquaculture</x:v>
      </x:c>
      <x:c r="H10" s="26" t="str">
        <x:v>Cross-sector</x:v>
      </x:c>
      <x:c r="I10" s="26" t="str">
        <x:v>Not dedicated</x:v>
      </x:c>
      <x:c r="J10" s="26" t="str">
        <x:v>Active / operational</x:v>
      </x:c>
      <x:c r="K10" s="26" t="str">
        <x:v>High</x:v>
      </x:c>
      <x:c r="L10" s="26" t="str">
        <x:v>Department of Agriculture</x:v>
      </x:c>
    </x:row>
    <x:row r="11" ht="42" customHeight="1">
      <x:c r="A11" s="26" t="str">
        <x:v>Inputs, seed &amp; nutrient tools</x:v>
      </x:c>
      <x:c r="B11" s="30" t="n">
        <x:f>COUNTIF(G5:G800,A11)</x:f>
        <x:v>16</x:v>
      </x:c>
      <x:c r="D11" s="26" t="str">
        <x:v>D2-004</x:v>
      </x:c>
      <x:c r="E11" s="26" t="str">
        <x:v>Farmers and Fisherfolk Enterprise Development Information System</x:v>
      </x:c>
      <x:c r="F11" s="26" t="str">
        <x:v>Primary</x:v>
      </x:c>
      <x:c r="G11" s="26" t="str">
        <x:v>Registry &amp; digital identity</x:v>
      </x:c>
      <x:c r="H11" s="26" t="str">
        <x:v>Cross-sector; Fisheries &amp; aquaculture</x:v>
      </x:c>
      <x:c r="I11" s="26" t="str">
        <x:v>Not dedicated</x:v>
      </x:c>
      <x:c r="J11" s="26" t="str">
        <x:v>Active / operational</x:v>
      </x:c>
      <x:c r="K11" s="26" t="str">
        <x:v>High</x:v>
      </x:c>
      <x:c r="L11" s="26" t="str">
        <x:v>Department of Agriculture</x:v>
      </x:c>
    </x:row>
    <x:row r="12" ht="42" customHeight="1">
      <x:c r="A12" s="26" t="str">
        <x:v>Mechanization &amp; equipment-as-a-service</x:v>
      </x:c>
      <x:c r="B12" s="30" t="n">
        <x:f>COUNTIF(G5:G800,A12)</x:f>
        <x:v>5</x:v>
      </x:c>
      <x:c r="D12" s="26" t="str">
        <x:v>D2-004</x:v>
      </x:c>
      <x:c r="E12" s="26" t="str">
        <x:v>Farmers and Fisherfolk Enterprise Development Information System</x:v>
      </x:c>
      <x:c r="F12" s="26" t="str">
        <x:v>Secondary</x:v>
      </x:c>
      <x:c r="G12" s="26" t="str">
        <x:v>Markets, e-commerce &amp; logistics</x:v>
      </x:c>
      <x:c r="H12" s="26" t="str">
        <x:v>Cross-sector; Fisheries &amp; aquaculture</x:v>
      </x:c>
      <x:c r="I12" s="26" t="str">
        <x:v>Not dedicated</x:v>
      </x:c>
      <x:c r="J12" s="26" t="str">
        <x:v>Active / operational</x:v>
      </x:c>
      <x:c r="K12" s="26" t="str">
        <x:v>High</x:v>
      </x:c>
      <x:c r="L12" s="26" t="str">
        <x:v>Department of Agriculture</x:v>
      </x:c>
    </x:row>
    <x:row r="13" ht="42" customHeight="1">
      <x:c r="A13" s="26" t="str">
        <x:v>Markets, e-commerce &amp; logistics</x:v>
      </x:c>
      <x:c r="B13" s="30" t="n">
        <x:f>COUNTIF(G5:G800,A13)</x:f>
        <x:v>39</x:v>
      </x:c>
      <x:c r="D13" s="26" t="str">
        <x:v>D2-004</x:v>
      </x:c>
      <x:c r="E13" s="26" t="str">
        <x:v>Farmers and Fisherfolk Enterprise Development Information System</x:v>
      </x:c>
      <x:c r="F13" s="26" t="str">
        <x:v>Secondary</x:v>
      </x:c>
      <x:c r="G13" s="26" t="str">
        <x:v>Fisheries &amp; aquaculture</x:v>
      </x:c>
      <x:c r="H13" s="26" t="str">
        <x:v>Cross-sector; Fisheries &amp; aquaculture</x:v>
      </x:c>
      <x:c r="I13" s="26" t="str">
        <x:v>Not dedicated</x:v>
      </x:c>
      <x:c r="J13" s="26" t="str">
        <x:v>Active / operational</x:v>
      </x:c>
      <x:c r="K13" s="26" t="str">
        <x:v>High</x:v>
      </x:c>
      <x:c r="L13" s="26" t="str">
        <x:v>Department of Agriculture</x:v>
      </x:c>
    </x:row>
    <x:row r="14" ht="42" customHeight="1">
      <x:c r="A14" s="26" t="str">
        <x:v>Finance, insurance &amp; payments</x:v>
      </x:c>
      <x:c r="B14" s="30" t="n">
        <x:f>COUNTIF(G5:G800,A14)</x:f>
        <x:v>9</x:v>
      </x:c>
      <x:c r="D14" s="26" t="str">
        <x:v>D2-004</x:v>
      </x:c>
      <x:c r="E14" s="26" t="str">
        <x:v>Farmers and Fisherfolk Enterprise Development Information System</x:v>
      </x:c>
      <x:c r="F14" s="26" t="str">
        <x:v>Secondary</x:v>
      </x:c>
      <x:c r="G14" s="26" t="str">
        <x:v>Data infrastructure, interoperability &amp; dashboards</x:v>
      </x:c>
      <x:c r="H14" s="26" t="str">
        <x:v>Cross-sector; Fisheries &amp; aquaculture</x:v>
      </x:c>
      <x:c r="I14" s="26" t="str">
        <x:v>Not dedicated</x:v>
      </x:c>
      <x:c r="J14" s="26" t="str">
        <x:v>Active / operational</x:v>
      </x:c>
      <x:c r="K14" s="26" t="str">
        <x:v>High</x:v>
      </x:c>
      <x:c r="L14" s="26" t="str">
        <x:v>Department of Agriculture</x:v>
      </x:c>
    </x:row>
    <x:row r="15" ht="42" customHeight="1">
      <x:c r="A15" s="26" t="str">
        <x:v>Traceability, food safety &amp; MRV</x:v>
      </x:c>
      <x:c r="B15" s="30" t="n">
        <x:f>COUNTIF(G5:G800,A15)</x:f>
        <x:v>14</x:v>
      </x:c>
      <x:c r="D15" s="26" t="str">
        <x:v>D2-005</x:v>
      </x:c>
      <x:c r="E15" s="26" t="str">
        <x:v>Farmers and Fisheries Registration System / Farmers Intervention Monitoring System</x:v>
      </x:c>
      <x:c r="F15" s="26" t="str">
        <x:v>Secondary</x:v>
      </x:c>
      <x:c r="G15" s="26" t="str">
        <x:v>Registry &amp; digital identity</x:v>
      </x:c>
      <x:c r="H15" s="26" t="str">
        <x:v>Cross-sector; Fisheries &amp; aquaculture</x:v>
      </x:c>
      <x:c r="I15" s="26" t="str">
        <x:v>Not dedicated</x:v>
      </x:c>
      <x:c r="J15" s="26" t="str">
        <x:v>Status unverified</x:v>
      </x:c>
      <x:c r="K15" s="26" t="str">
        <x:v>High</x:v>
      </x:c>
      <x:c r="L15" s="26" t="str">
        <x:v>Department of Agriculture</x:v>
      </x:c>
    </x:row>
    <x:row r="16" ht="42" customHeight="1">
      <x:c r="A16" s="26" t="str">
        <x:v>Fisheries &amp; aquaculture</x:v>
      </x:c>
      <x:c r="B16" s="30" t="n">
        <x:f>COUNTIF(G5:G800,A16)</x:f>
        <x:v>20</x:v>
      </x:c>
      <x:c r="D16" s="26" t="str">
        <x:v>D2-005</x:v>
      </x:c>
      <x:c r="E16" s="26" t="str">
        <x:v>Farmers and Fisheries Registration System / Farmers Intervention Monitoring System</x:v>
      </x:c>
      <x:c r="F16" s="26" t="str">
        <x:v>Secondary</x:v>
      </x:c>
      <x:c r="G16" s="26" t="str">
        <x:v>Fisheries &amp; aquaculture</x:v>
      </x:c>
      <x:c r="H16" s="26" t="str">
        <x:v>Cross-sector; Fisheries &amp; aquaculture</x:v>
      </x:c>
      <x:c r="I16" s="26" t="str">
        <x:v>Not dedicated</x:v>
      </x:c>
      <x:c r="J16" s="26" t="str">
        <x:v>Status unverified</x:v>
      </x:c>
      <x:c r="K16" s="26" t="str">
        <x:v>High</x:v>
      </x:c>
      <x:c r="L16" s="26" t="str">
        <x:v>Department of Agriculture</x:v>
      </x:c>
    </x:row>
    <x:row r="17" ht="42" customHeight="1">
      <x:c r="A17" s="26" t="str">
        <x:v>Data infrastructure, interoperability &amp; dashboards</x:v>
      </x:c>
      <x:c r="B17" s="30" t="n">
        <x:f>COUNTIF(G5:G800,A17)</x:f>
        <x:v>48</x:v>
      </x:c>
      <x:c r="D17" s="26" t="str">
        <x:v>D2-005</x:v>
      </x:c>
      <x:c r="E17" s="26" t="str">
        <x:v>Farmers and Fisheries Registration System / Farmers Intervention Monitoring System</x:v>
      </x:c>
      <x:c r="F17" s="26" t="str">
        <x:v>Primary</x:v>
      </x:c>
      <x:c r="G17" s="26" t="str">
        <x:v>Data infrastructure, interoperability &amp; dashboards</x:v>
      </x:c>
      <x:c r="H17" s="26" t="str">
        <x:v>Cross-sector; Fisheries &amp; aquaculture</x:v>
      </x:c>
      <x:c r="I17" s="26" t="str">
        <x:v>Not dedicated</x:v>
      </x:c>
      <x:c r="J17" s="26" t="str">
        <x:v>Status unverified</x:v>
      </x:c>
      <x:c r="K17" s="26" t="str">
        <x:v>High</x:v>
      </x:c>
      <x:c r="L17" s="26" t="str">
        <x:v>Department of Agriculture</x:v>
      </x:c>
    </x:row>
    <x:row r="18" ht="42" customHeight="1">
      <x:c r="A18" s="26" t="str">
        <x:v>Training, capacity &amp; innovation hubs</x:v>
      </x:c>
      <x:c r="B18" s="30" t="n">
        <x:f>COUNTIF(G5:G800,A18)</x:f>
        <x:v>4</x:v>
      </x:c>
      <x:c r="D18" s="26" t="str">
        <x:v>D2-006</x:v>
      </x:c>
      <x:c r="E18" s="26" t="str">
        <x:v>DA GeoCamera</x:v>
      </x:c>
      <x:c r="F18" s="26" t="str">
        <x:v>Primary</x:v>
      </x:c>
      <x:c r="G18" s="26" t="str">
        <x:v>Data infrastructure, interoperability &amp; dashboards</x:v>
      </x:c>
      <x:c r="H18" s="26" t="str">
        <x:v>Cross-sector</x:v>
      </x:c>
      <x:c r="I18" s="26" t="str">
        <x:v>Not dedicated</x:v>
      </x:c>
      <x:c r="J18" s="26" t="str">
        <x:v>Active / operational</x:v>
      </x:c>
      <x:c r="K18" s="26" t="str">
        <x:v>High</x:v>
      </x:c>
      <x:c r="L18" s="26" t="str">
        <x:v>Department of Agriculture</x:v>
      </x:c>
    </x:row>
    <x:row r="19" ht="42" customHeight="1">
      <x:c r="D19" s="26" t="str">
        <x:v>D2-007</x:v>
      </x:c>
      <x:c r="E19" s="26" t="str">
        <x:v>GEOAGRI</x:v>
      </x:c>
      <x:c r="F19" s="26" t="str">
        <x:v>Secondary</x:v>
      </x:c>
      <x:c r="G19" s="26" t="str">
        <x:v>Registry &amp; digital identity</x:v>
      </x:c>
      <x:c r="H19" s="26" t="str">
        <x:v>Agriculture — general</x:v>
      </x:c>
      <x:c r="I19" s="26" t="str">
        <x:v>Not dedicated</x:v>
      </x:c>
      <x:c r="J19" s="26" t="str">
        <x:v>Status unverified</x:v>
      </x:c>
      <x:c r="K19" s="26" t="str">
        <x:v>High</x:v>
      </x:c>
      <x:c r="L19" s="26" t="str">
        <x:v>DA-Bureau of Agricultural and Fisheries Engineering</x:v>
      </x:c>
    </x:row>
    <x:row r="20" ht="42" customHeight="1">
      <x:c r="D20" s="26" t="str">
        <x:v>D2-007</x:v>
      </x:c>
      <x:c r="E20" s="26" t="str">
        <x:v>GEOAGRI</x:v>
      </x:c>
      <x:c r="F20" s="26" t="str">
        <x:v>Secondary</x:v>
      </x:c>
      <x:c r="G20" s="26" t="str">
        <x:v>Precision agriculture, EO, drones &amp; IoT</x:v>
      </x:c>
      <x:c r="H20" s="26" t="str">
        <x:v>Agriculture — general</x:v>
      </x:c>
      <x:c r="I20" s="26" t="str">
        <x:v>Not dedicated</x:v>
      </x:c>
      <x:c r="J20" s="26" t="str">
        <x:v>Status unverified</x:v>
      </x:c>
      <x:c r="K20" s="26" t="str">
        <x:v>High</x:v>
      </x:c>
      <x:c r="L20" s="26" t="str">
        <x:v>DA-Bureau of Agricultural and Fisheries Engineering</x:v>
      </x:c>
    </x:row>
    <x:row r="21" ht="42" customHeight="1">
      <x:c r="A21" s="93" t="str">
        <x:v>Livestock / Poultry Coverage</x:v>
      </x:c>
      <x:c r="B21" s="93" t="str">
        <x:v>Main Systems</x:v>
      </x:c>
      <x:c r="D21" s="26" t="str">
        <x:v>D2-007</x:v>
      </x:c>
      <x:c r="E21" s="26" t="str">
        <x:v>GEOAGRI</x:v>
      </x:c>
      <x:c r="F21" s="26" t="str">
        <x:v>Primary</x:v>
      </x:c>
      <x:c r="G21" s="26" t="str">
        <x:v>Mechanization &amp; equipment-as-a-service</x:v>
      </x:c>
      <x:c r="H21" s="26" t="str">
        <x:v>Agriculture — general</x:v>
      </x:c>
      <x:c r="I21" s="26" t="str">
        <x:v>Not dedicated</x:v>
      </x:c>
      <x:c r="J21" s="26" t="str">
        <x:v>Status unverified</x:v>
      </x:c>
      <x:c r="K21" s="26" t="str">
        <x:v>High</x:v>
      </x:c>
      <x:c r="L21" s="26" t="str">
        <x:v>DA-Bureau of Agricultural and Fisheries Engineering</x:v>
      </x:c>
    </x:row>
    <x:row r="22" ht="42" customHeight="1">
      <x:c r="A22" s="26" t="str">
        <x:v>Dedicated — swine/native pig</x:v>
      </x:c>
      <x:c r="B22" s="30" t="n">
        <x:f>COUNTIF('DATS 2.0 Inventory'!AK5:AK300,A22)</x:f>
        <x:v>2</x:v>
      </x:c>
      <x:c r="D22" s="26" t="str">
        <x:v>D2-007</x:v>
      </x:c>
      <x:c r="E22" s="26" t="str">
        <x:v>GEOAGRI</x:v>
      </x:c>
      <x:c r="F22" s="26" t="str">
        <x:v>Secondary</x:v>
      </x:c>
      <x:c r="G22" s="26" t="str">
        <x:v>Data infrastructure, interoperability &amp; dashboards</x:v>
      </x:c>
      <x:c r="H22" s="26" t="str">
        <x:v>Agriculture — general</x:v>
      </x:c>
      <x:c r="I22" s="26" t="str">
        <x:v>Not dedicated</x:v>
      </x:c>
      <x:c r="J22" s="26" t="str">
        <x:v>Status unverified</x:v>
      </x:c>
      <x:c r="K22" s="26" t="str">
        <x:v>High</x:v>
      </x:c>
      <x:c r="L22" s="26" t="str">
        <x:v>DA-Bureau of Agricultural and Fisheries Engineering</x:v>
      </x:c>
    </x:row>
    <x:row r="23" ht="42" customHeight="1">
      <x:c r="A23" s="26" t="str">
        <x:v>Dedicated — poultry/chicken/duck</x:v>
      </x:c>
      <x:c r="B23" s="30" t="n">
        <x:f>COUNTIF('DATS 2.0 Inventory'!AK5:AK300,A23)</x:f>
        <x:v>3</x:v>
      </x:c>
      <x:c r="D23" s="26" t="str">
        <x:v>D2-008</x:v>
      </x:c>
      <x:c r="E23" s="26" t="str">
        <x:v>DA DOS Regional Government Analytics</x:v>
      </x:c>
      <x:c r="F23" s="26" t="str">
        <x:v>Primary</x:v>
      </x:c>
      <x:c r="G23" s="26" t="str">
        <x:v>Data infrastructure, interoperability &amp; dashboards</x:v>
      </x:c>
      <x:c r="H23" s="26" t="str">
        <x:v>Cross-sector</x:v>
      </x:c>
      <x:c r="I23" s="26" t="str">
        <x:v>Not dedicated</x:v>
      </x:c>
      <x:c r="J23" s="26" t="str">
        <x:v>Active / operational</x:v>
      </x:c>
      <x:c r="K23" s="26" t="str">
        <x:v>High</x:v>
      </x:c>
      <x:c r="L23" s="26" t="str">
        <x:v>DA Regional Field Office II</x:v>
      </x:c>
    </x:row>
    <x:row r="24" ht="42" customHeight="1">
      <x:c r="A24" s="26" t="str">
        <x:v>Dedicated — mixed livestock/poultry</x:v>
      </x:c>
      <x:c r="B24" s="30" t="n">
        <x:f>COUNTIF('DATS 2.0 Inventory'!AK5:AK300,A24)</x:f>
        <x:v>0</x:v>
      </x:c>
      <x:c r="D24" s="26" t="str">
        <x:v>D2-009</x:v>
      </x:c>
      <x:c r="E24" s="26" t="str">
        <x:v>Agriculture and Fisheries Market Information System / Bantay Presyo</x:v>
      </x:c>
      <x:c r="F24" s="26" t="str">
        <x:v>Secondary</x:v>
      </x:c>
      <x:c r="G24" s="26" t="str">
        <x:v>Advisory &amp; e-extension</x:v>
      </x:c>
      <x:c r="H24" s="26" t="str">
        <x:v>Cross-sector; Rice / palay; Fisheries &amp; aquaculture</x:v>
      </x:c>
      <x:c r="I24" s="26" t="str">
        <x:v>Not dedicated</x:v>
      </x:c>
      <x:c r="J24" s="26" t="str">
        <x:v>Active / operational</x:v>
      </x:c>
      <x:c r="K24" s="26" t="str">
        <x:v>High</x:v>
      </x:c>
      <x:c r="L24" s="26" t="str">
        <x:v>Department of Agriculture</x:v>
      </x:c>
    </x:row>
    <x:row r="25" ht="42" customHeight="1">
      <x:c r="A25" s="26" t="str">
        <x:v>Livestock regulatory / animal-health</x:v>
      </x:c>
      <x:c r="B25" s="30" t="n">
        <x:f>COUNTIF('DATS 2.0 Inventory'!AK5:AK300,A25)</x:f>
        <x:v>3</x:v>
      </x:c>
      <x:c r="D25" s="26" t="str">
        <x:v>D2-009</x:v>
      </x:c>
      <x:c r="E25" s="26" t="str">
        <x:v>Agriculture and Fisheries Market Information System / Bantay Presyo</x:v>
      </x:c>
      <x:c r="F25" s="26" t="str">
        <x:v>Primary</x:v>
      </x:c>
      <x:c r="G25" s="26" t="str">
        <x:v>Markets, e-commerce &amp; logistics</x:v>
      </x:c>
      <x:c r="H25" s="26" t="str">
        <x:v>Cross-sector; Rice / palay; Fisheries &amp; aquaculture</x:v>
      </x:c>
      <x:c r="I25" s="26" t="str">
        <x:v>Not dedicated</x:v>
      </x:c>
      <x:c r="J25" s="26" t="str">
        <x:v>Active / operational</x:v>
      </x:c>
      <x:c r="K25" s="26" t="str">
        <x:v>High</x:v>
      </x:c>
      <x:c r="L25" s="26" t="str">
        <x:v>Department of Agriculture</x:v>
      </x:c>
    </x:row>
    <x:row r="26" ht="42" customHeight="1">
      <x:c r="A26" s="26" t="str">
        <x:v>Livestock — general</x:v>
      </x:c>
      <x:c r="B26" s="30" t="n">
        <x:f>COUNTIF('DATS 2.0 Inventory'!AK5:AK300,A26)</x:f>
        <x:v>0</x:v>
      </x:c>
      <x:c r="D26" s="26" t="str">
        <x:v>D2-009</x:v>
      </x:c>
      <x:c r="E26" s="26" t="str">
        <x:v>Agriculture and Fisheries Market Information System / Bantay Presyo</x:v>
      </x:c>
      <x:c r="F26" s="26" t="str">
        <x:v>Secondary</x:v>
      </x:c>
      <x:c r="G26" s="26" t="str">
        <x:v>Fisheries &amp; aquaculture</x:v>
      </x:c>
      <x:c r="H26" s="26" t="str">
        <x:v>Cross-sector; Rice / palay; Fisheries &amp; aquaculture</x:v>
      </x:c>
      <x:c r="I26" s="26" t="str">
        <x:v>Not dedicated</x:v>
      </x:c>
      <x:c r="J26" s="26" t="str">
        <x:v>Active / operational</x:v>
      </x:c>
      <x:c r="K26" s="26" t="str">
        <x:v>High</x:v>
      </x:c>
      <x:c r="L26" s="26" t="str">
        <x:v>Department of Agriculture</x:v>
      </x:c>
    </x:row>
    <x:row r="27" ht="42" customHeight="1">
      <x:c r="A27" s="26" t="str">
        <x:v>Not dedicated</x:v>
      </x:c>
      <x:c r="B27" s="30" t="n">
        <x:f>COUNTIF('DATS 2.0 Inventory'!AK5:AK300,A27)</x:f>
        <x:v>125</x:v>
      </x:c>
      <x:c r="D27" s="26" t="str">
        <x:v>D2-009</x:v>
      </x:c>
      <x:c r="E27" s="26" t="str">
        <x:v>Agriculture and Fisheries Market Information System / Bantay Presyo</x:v>
      </x:c>
      <x:c r="F27" s="26" t="str">
        <x:v>Secondary</x:v>
      </x:c>
      <x:c r="G27" s="26" t="str">
        <x:v>Data infrastructure, interoperability &amp; dashboards</x:v>
      </x:c>
      <x:c r="H27" s="26" t="str">
        <x:v>Cross-sector; Rice / palay; Fisheries &amp; aquaculture</x:v>
      </x:c>
      <x:c r="I27" s="26" t="str">
        <x:v>Not dedicated</x:v>
      </x:c>
      <x:c r="J27" s="26" t="str">
        <x:v>Active / operational</x:v>
      </x:c>
      <x:c r="K27" s="26" t="str">
        <x:v>High</x:v>
      </x:c>
      <x:c r="L27" s="26" t="str">
        <x:v>Department of Agriculture</x:v>
      </x:c>
    </x:row>
    <x:row r="28" ht="42" customHeight="1">
      <x:c r="D28" s="26" t="str">
        <x:v>D2-010</x:v>
      </x:c>
      <x:c r="E28" s="26" t="str">
        <x:v>e-Kadiwa / Kadiwa Digital Market Channels</x:v>
      </x:c>
      <x:c r="F28" s="26" t="str">
        <x:v>Primary</x:v>
      </x:c>
      <x:c r="G28" s="26" t="str">
        <x:v>Markets, e-commerce &amp; logistics</x:v>
      </x:c>
      <x:c r="H28" s="26" t="str">
        <x:v>Cross-sector</x:v>
      </x:c>
      <x:c r="I28" s="26" t="str">
        <x:v>Not dedicated</x:v>
      </x:c>
      <x:c r="J28" s="26" t="str">
        <x:v>Status unverified</x:v>
      </x:c>
      <x:c r="K28" s="26" t="str">
        <x:v>Medium</x:v>
      </x:c>
      <x:c r="L28" s="26" t="str">
        <x:v>Department of Agriculture and partners</x:v>
      </x:c>
    </x:row>
    <x:row r="29" ht="42" customHeight="1">
      <x:c r="D29" s="26" t="str">
        <x:v>D2-011</x:v>
      </x:c>
      <x:c r="E29" s="26" t="str">
        <x:v>Agro-Climatic Advisory Portal</x:v>
      </x:c>
      <x:c r="F29" s="26" t="str">
        <x:v>Secondary</x:v>
      </x:c>
      <x:c r="G29" s="26" t="str">
        <x:v>Advisory &amp; e-extension</x:v>
      </x:c>
      <x:c r="H29" s="26" t="str">
        <x:v>Cross-sector</x:v>
      </x:c>
      <x:c r="I29" s="26" t="str">
        <x:v>Not dedicated</x:v>
      </x:c>
      <x:c r="J29" s="26" t="str">
        <x:v>Active / operational</x:v>
      </x:c>
      <x:c r="K29" s="26" t="str">
        <x:v>High</x:v>
      </x:c>
      <x:c r="L29" s="26" t="str">
        <x:v>Department of Agriculture</x:v>
      </x:c>
    </x:row>
    <x:row r="30" ht="42" customHeight="1">
      <x:c r="D30" s="26" t="str">
        <x:v>D2-011</x:v>
      </x:c>
      <x:c r="E30" s="26" t="str">
        <x:v>Agro-Climatic Advisory Portal</x:v>
      </x:c>
      <x:c r="F30" s="26" t="str">
        <x:v>Primary</x:v>
      </x:c>
      <x:c r="G30" s="26" t="str">
        <x:v>Climate, weather &amp; early warning</x:v>
      </x:c>
      <x:c r="H30" s="26" t="str">
        <x:v>Cross-sector</x:v>
      </x:c>
      <x:c r="I30" s="26" t="str">
        <x:v>Not dedicated</x:v>
      </x:c>
      <x:c r="J30" s="26" t="str">
        <x:v>Active / operational</x:v>
      </x:c>
      <x:c r="K30" s="26" t="str">
        <x:v>High</x:v>
      </x:c>
      <x:c r="L30" s="26" t="str">
        <x:v>Department of Agriculture</x:v>
      </x:c>
    </x:row>
    <x:row r="31" ht="42" customHeight="1">
      <x:c r="D31" s="26" t="str">
        <x:v>D2-012</x:v>
      </x:c>
      <x:c r="E31" s="26" t="str">
        <x:v>National Color-Coded Agricultural Guide Map</x:v>
      </x:c>
      <x:c r="F31" s="26" t="str">
        <x:v>Primary</x:v>
      </x:c>
      <x:c r="G31" s="26" t="str">
        <x:v>Climate, weather &amp; early warning</x:v>
      </x:c>
      <x:c r="H31" s="26" t="str">
        <x:v>Agriculture — general</x:v>
      </x:c>
      <x:c r="I31" s="26" t="str">
        <x:v>Not dedicated</x:v>
      </x:c>
      <x:c r="J31" s="26" t="str">
        <x:v>Status unverified</x:v>
      </x:c>
      <x:c r="K31" s="26" t="str">
        <x:v>High</x:v>
      </x:c>
      <x:c r="L31" s="26" t="str">
        <x:v>Department of Agriculture</x:v>
      </x:c>
    </x:row>
    <x:row r="32" ht="42" customHeight="1">
      <x:c r="D32" s="26" t="str">
        <x:v>D2-012</x:v>
      </x:c>
      <x:c r="E32" s="26" t="str">
        <x:v>National Color-Coded Agricultural Guide Map</x:v>
      </x:c>
      <x:c r="F32" s="26" t="str">
        <x:v>Secondary</x:v>
      </x:c>
      <x:c r="G32" s="26" t="str">
        <x:v>Precision agriculture, EO, drones &amp; IoT</x:v>
      </x:c>
      <x:c r="H32" s="26" t="str">
        <x:v>Agriculture — general</x:v>
      </x:c>
      <x:c r="I32" s="26" t="str">
        <x:v>Not dedicated</x:v>
      </x:c>
      <x:c r="J32" s="26" t="str">
        <x:v>Status unverified</x:v>
      </x:c>
      <x:c r="K32" s="26" t="str">
        <x:v>High</x:v>
      </x:c>
      <x:c r="L32" s="26" t="str">
        <x:v>Department of Agriculture</x:v>
      </x:c>
    </x:row>
    <x:row r="33" ht="42" customHeight="1">
      <x:c r="D33" s="26" t="str">
        <x:v>D2-013</x:v>
      </x:c>
      <x:c r="E33" s="26" t="str">
        <x:v>AMIA Climate-Risk Vulnerability Assessment</x:v>
      </x:c>
      <x:c r="F33" s="26" t="str">
        <x:v>Primary</x:v>
      </x:c>
      <x:c r="G33" s="26" t="str">
        <x:v>Climate, weather &amp; early warning</x:v>
      </x:c>
      <x:c r="H33" s="26" t="str">
        <x:v>Cross-sector</x:v>
      </x:c>
      <x:c r="I33" s="26" t="str">
        <x:v>Not dedicated</x:v>
      </x:c>
      <x:c r="J33" s="26" t="str">
        <x:v>Active / operational</x:v>
      </x:c>
      <x:c r="K33" s="26" t="str">
        <x:v>High</x:v>
      </x:c>
      <x:c r="L33" s="26" t="str">
        <x:v>Department of Agriculture and research partners</x:v>
      </x:c>
    </x:row>
    <x:row r="34" ht="42" customHeight="1">
      <x:c r="D34" s="26" t="str">
        <x:v>D2-013</x:v>
      </x:c>
      <x:c r="E34" s="26" t="str">
        <x:v>AMIA Climate-Risk Vulnerability Assessment</x:v>
      </x:c>
      <x:c r="F34" s="26" t="str">
        <x:v>Secondary</x:v>
      </x:c>
      <x:c r="G34" s="26" t="str">
        <x:v>Data infrastructure, interoperability &amp; dashboards</x:v>
      </x:c>
      <x:c r="H34" s="26" t="str">
        <x:v>Cross-sector</x:v>
      </x:c>
      <x:c r="I34" s="26" t="str">
        <x:v>Not dedicated</x:v>
      </x:c>
      <x:c r="J34" s="26" t="str">
        <x:v>Active / operational</x:v>
      </x:c>
      <x:c r="K34" s="26" t="str">
        <x:v>High</x:v>
      </x:c>
      <x:c r="L34" s="26" t="str">
        <x:v>Department of Agriculture and research partners</x:v>
      </x:c>
    </x:row>
    <x:row r="35" ht="42" customHeight="1">
      <x:c r="D35" s="26" t="str">
        <x:v>D2-014</x:v>
      </x:c>
      <x:c r="E35" s="26" t="str">
        <x:v>Digital Soil Fertility Maps</x:v>
      </x:c>
      <x:c r="F35" s="26" t="str">
        <x:v>Secondary</x:v>
      </x:c>
      <x:c r="G35" s="26" t="str">
        <x:v>Advisory &amp; e-extension</x:v>
      </x:c>
      <x:c r="H35" s="26" t="str">
        <x:v>Agriculture — general</x:v>
      </x:c>
      <x:c r="I35" s="26" t="str">
        <x:v>Not dedicated</x:v>
      </x:c>
      <x:c r="J35" s="26" t="str">
        <x:v>Active / operational</x:v>
      </x:c>
      <x:c r="K35" s="26" t="str">
        <x:v>High</x:v>
      </x:c>
      <x:c r="L35" s="26" t="str">
        <x:v>Department of Agriculture soil programs</x:v>
      </x:c>
    </x:row>
    <x:row r="36" ht="42" customHeight="1">
      <x:c r="D36" s="26" t="str">
        <x:v>D2-014</x:v>
      </x:c>
      <x:c r="E36" s="26" t="str">
        <x:v>Digital Soil Fertility Maps</x:v>
      </x:c>
      <x:c r="F36" s="26" t="str">
        <x:v>Secondary</x:v>
      </x:c>
      <x:c r="G36" s="26" t="str">
        <x:v>Precision agriculture, EO, drones &amp; IoT</x:v>
      </x:c>
      <x:c r="H36" s="26" t="str">
        <x:v>Agriculture — general</x:v>
      </x:c>
      <x:c r="I36" s="26" t="str">
        <x:v>Not dedicated</x:v>
      </x:c>
      <x:c r="J36" s="26" t="str">
        <x:v>Active / operational</x:v>
      </x:c>
      <x:c r="K36" s="26" t="str">
        <x:v>High</x:v>
      </x:c>
      <x:c r="L36" s="26" t="str">
        <x:v>Department of Agriculture soil programs</x:v>
      </x:c>
    </x:row>
    <x:row r="37" ht="42" customHeight="1">
      <x:c r="D37" s="26" t="str">
        <x:v>D2-014</x:v>
      </x:c>
      <x:c r="E37" s="26" t="str">
        <x:v>Digital Soil Fertility Maps</x:v>
      </x:c>
      <x:c r="F37" s="26" t="str">
        <x:v>Primary</x:v>
      </x:c>
      <x:c r="G37" s="26" t="str">
        <x:v>Inputs, seed &amp; nutrient tools</x:v>
      </x:c>
      <x:c r="H37" s="26" t="str">
        <x:v>Agriculture — general</x:v>
      </x:c>
      <x:c r="I37" s="26" t="str">
        <x:v>Not dedicated</x:v>
      </x:c>
      <x:c r="J37" s="26" t="str">
        <x:v>Active / operational</x:v>
      </x:c>
      <x:c r="K37" s="26" t="str">
        <x:v>High</x:v>
      </x:c>
      <x:c r="L37" s="26" t="str">
        <x:v>Department of Agriculture soil programs</x:v>
      </x:c>
    </x:row>
    <x:row r="38" ht="42" customHeight="1">
      <x:c r="D38" s="26" t="str">
        <x:v>D2-014</x:v>
      </x:c>
      <x:c r="E38" s="26" t="str">
        <x:v>Digital Soil Fertility Maps</x:v>
      </x:c>
      <x:c r="F38" s="26" t="str">
        <x:v>Secondary</x:v>
      </x:c>
      <x:c r="G38" s="26" t="str">
        <x:v>Data infrastructure, interoperability &amp; dashboards</x:v>
      </x:c>
      <x:c r="H38" s="26" t="str">
        <x:v>Agriculture — general</x:v>
      </x:c>
      <x:c r="I38" s="26" t="str">
        <x:v>Not dedicated</x:v>
      </x:c>
      <x:c r="J38" s="26" t="str">
        <x:v>Active / operational</x:v>
      </x:c>
      <x:c r="K38" s="26" t="str">
        <x:v>High</x:v>
      </x:c>
      <x:c r="L38" s="26" t="str">
        <x:v>Department of Agriculture soil programs</x:v>
      </x:c>
    </x:row>
    <x:row r="39" ht="42" customHeight="1">
      <x:c r="D39" s="26" t="str">
        <x:v>D2-015</x:v>
      </x:c>
      <x:c r="E39" s="26" t="str">
        <x:v>Philippine Rice Information System</x:v>
      </x:c>
      <x:c r="F39" s="26" t="str">
        <x:v>Secondary</x:v>
      </x:c>
      <x:c r="G39" s="26" t="str">
        <x:v>Farm management &amp; decision support</x:v>
      </x:c>
      <x:c r="H39" s="26" t="str">
        <x:v>Rice / palay</x:v>
      </x:c>
      <x:c r="I39" s="26" t="str">
        <x:v>Not dedicated</x:v>
      </x:c>
      <x:c r="J39" s="26" t="str">
        <x:v>Active / operational</x:v>
      </x:c>
      <x:c r="K39" s="26" t="str">
        <x:v>High</x:v>
      </x:c>
      <x:c r="L39" s="26" t="str">
        <x:v>DA-PhilRice, IRRI and Department of Agriculture</x:v>
      </x:c>
    </x:row>
    <x:row r="40" ht="42" customHeight="1">
      <x:c r="D40" s="26" t="str">
        <x:v>D2-015</x:v>
      </x:c>
      <x:c r="E40" s="26" t="str">
        <x:v>Philippine Rice Information System</x:v>
      </x:c>
      <x:c r="F40" s="26" t="str">
        <x:v>Primary</x:v>
      </x:c>
      <x:c r="G40" s="26" t="str">
        <x:v>Precision agriculture, EO, drones &amp; IoT</x:v>
      </x:c>
      <x:c r="H40" s="26" t="str">
        <x:v>Rice / palay</x:v>
      </x:c>
      <x:c r="I40" s="26" t="str">
        <x:v>Not dedicated</x:v>
      </x:c>
      <x:c r="J40" s="26" t="str">
        <x:v>Active / operational</x:v>
      </x:c>
      <x:c r="K40" s="26" t="str">
        <x:v>High</x:v>
      </x:c>
      <x:c r="L40" s="26" t="str">
        <x:v>DA-PhilRice, IRRI and Department of Agriculture</x:v>
      </x:c>
    </x:row>
    <x:row r="41" ht="42" customHeight="1">
      <x:c r="D41" s="26" t="str">
        <x:v>D2-015</x:v>
      </x:c>
      <x:c r="E41" s="26" t="str">
        <x:v>Philippine Rice Information System</x:v>
      </x:c>
      <x:c r="F41" s="26" t="str">
        <x:v>Secondary</x:v>
      </x:c>
      <x:c r="G41" s="26" t="str">
        <x:v>Data infrastructure, interoperability &amp; dashboards</x:v>
      </x:c>
      <x:c r="H41" s="26" t="str">
        <x:v>Rice / palay</x:v>
      </x:c>
      <x:c r="I41" s="26" t="str">
        <x:v>Not dedicated</x:v>
      </x:c>
      <x:c r="J41" s="26" t="str">
        <x:v>Active / operational</x:v>
      </x:c>
      <x:c r="K41" s="26" t="str">
        <x:v>High</x:v>
      </x:c>
      <x:c r="L41" s="26" t="str">
        <x:v>DA-PhilRice, IRRI and Department of Agriculture</x:v>
      </x:c>
    </x:row>
    <x:row r="42" ht="42" customHeight="1">
      <x:c r="D42" s="26" t="str">
        <x:v>D2-016</x:v>
      </x:c>
      <x:c r="E42" s="26" t="str">
        <x:v>Pest and Disease Risk Identification and Management</x:v>
      </x:c>
      <x:c r="F42" s="26" t="str">
        <x:v>Secondary</x:v>
      </x:c>
      <x:c r="G42" s="26" t="str">
        <x:v>Registry &amp; digital identity</x:v>
      </x:c>
      <x:c r="H42" s="26" t="str">
        <x:v>Rice / palay</x:v>
      </x:c>
      <x:c r="I42" s="26" t="str">
        <x:v>Not dedicated</x:v>
      </x:c>
      <x:c r="J42" s="26" t="str">
        <x:v>Active / operational</x:v>
      </x:c>
      <x:c r="K42" s="26" t="str">
        <x:v>High</x:v>
      </x:c>
      <x:c r="L42" s="26" t="str">
        <x:v>DA-PhilRice and partners</x:v>
      </x:c>
    </x:row>
    <x:row r="43" ht="42" customHeight="1">
      <x:c r="D43" s="26" t="str">
        <x:v>D2-016</x:v>
      </x:c>
      <x:c r="E43" s="26" t="str">
        <x:v>Pest and Disease Risk Identification and Management</x:v>
      </x:c>
      <x:c r="F43" s="26" t="str">
        <x:v>Secondary</x:v>
      </x:c>
      <x:c r="G43" s="26" t="str">
        <x:v>Climate, weather &amp; early warning</x:v>
      </x:c>
      <x:c r="H43" s="26" t="str">
        <x:v>Rice / palay</x:v>
      </x:c>
      <x:c r="I43" s="26" t="str">
        <x:v>Not dedicated</x:v>
      </x:c>
      <x:c r="J43" s="26" t="str">
        <x:v>Active / operational</x:v>
      </x:c>
      <x:c r="K43" s="26" t="str">
        <x:v>High</x:v>
      </x:c>
      <x:c r="L43" s="26" t="str">
        <x:v>DA-PhilRice and partners</x:v>
      </x:c>
    </x:row>
    <x:row r="44" ht="42" customHeight="1">
      <x:c r="D44" s="26" t="str">
        <x:v>D2-016</x:v>
      </x:c>
      <x:c r="E44" s="26" t="str">
        <x:v>Pest and Disease Risk Identification and Management</x:v>
      </x:c>
      <x:c r="F44" s="26" t="str">
        <x:v>Primary</x:v>
      </x:c>
      <x:c r="G44" s="26" t="str">
        <x:v>Pest, disease &amp; biosecurity</x:v>
      </x:c>
      <x:c r="H44" s="26" t="str">
        <x:v>Rice / palay</x:v>
      </x:c>
      <x:c r="I44" s="26" t="str">
        <x:v>Not dedicated</x:v>
      </x:c>
      <x:c r="J44" s="26" t="str">
        <x:v>Active / operational</x:v>
      </x:c>
      <x:c r="K44" s="26" t="str">
        <x:v>High</x:v>
      </x:c>
      <x:c r="L44" s="26" t="str">
        <x:v>DA-PhilRice and partners</x:v>
      </x:c>
    </x:row>
    <x:row r="45" ht="42" customHeight="1">
      <x:c r="D45" s="26" t="str">
        <x:v>D2-017</x:v>
      </x:c>
      <x:c r="E45" s="26" t="str">
        <x:v>Smarter Approaches to Reinvigorate Agriculture as an Industry in the Philippines</x:v>
      </x:c>
      <x:c r="F45" s="26" t="str">
        <x:v>Secondary</x:v>
      </x:c>
      <x:c r="G45" s="26" t="str">
        <x:v>Advisory &amp; e-extension</x:v>
      </x:c>
      <x:c r="H45" s="26" t="str">
        <x:v>Cross-sector</x:v>
      </x:c>
      <x:c r="I45" s="26" t="str">
        <x:v>Not dedicated</x:v>
      </x:c>
      <x:c r="J45" s="26" t="str">
        <x:v>Active / operational</x:v>
      </x:c>
      <x:c r="K45" s="26" t="str">
        <x:v>High</x:v>
      </x:c>
      <x:c r="L45" s="26" t="str">
        <x:v>UP Los Baños and DOST-PCAARRD partners</x:v>
      </x:c>
    </x:row>
    <x:row r="46" ht="42" customHeight="1">
      <x:c r="D46" s="26" t="str">
        <x:v>D2-017</x:v>
      </x:c>
      <x:c r="E46" s="26" t="str">
        <x:v>Smarter Approaches to Reinvigorate Agriculture as an Industry in the Philippines</x:v>
      </x:c>
      <x:c r="F46" s="26" t="str">
        <x:v>Primary</x:v>
      </x:c>
      <x:c r="G46" s="26" t="str">
        <x:v>Climate, weather &amp; early warning</x:v>
      </x:c>
      <x:c r="H46" s="26" t="str">
        <x:v>Cross-sector</x:v>
      </x:c>
      <x:c r="I46" s="26" t="str">
        <x:v>Not dedicated</x:v>
      </x:c>
      <x:c r="J46" s="26" t="str">
        <x:v>Active / operational</x:v>
      </x:c>
      <x:c r="K46" s="26" t="str">
        <x:v>High</x:v>
      </x:c>
      <x:c r="L46" s="26" t="str">
        <x:v>UP Los Baños and DOST-PCAARRD partners</x:v>
      </x:c>
    </x:row>
    <x:row r="47" ht="42" customHeight="1">
      <x:c r="D47" s="26" t="str">
        <x:v>D2-017</x:v>
      </x:c>
      <x:c r="E47" s="26" t="str">
        <x:v>Smarter Approaches to Reinvigorate Agriculture as an Industry in the Philippines</x:v>
      </x:c>
      <x:c r="F47" s="26" t="str">
        <x:v>Secondary</x:v>
      </x:c>
      <x:c r="G47" s="26" t="str">
        <x:v>Precision agriculture, EO, drones &amp; IoT</x:v>
      </x:c>
      <x:c r="H47" s="26" t="str">
        <x:v>Cross-sector</x:v>
      </x:c>
      <x:c r="I47" s="26" t="str">
        <x:v>Not dedicated</x:v>
      </x:c>
      <x:c r="J47" s="26" t="str">
        <x:v>Active / operational</x:v>
      </x:c>
      <x:c r="K47" s="26" t="str">
        <x:v>High</x:v>
      </x:c>
      <x:c r="L47" s="26" t="str">
        <x:v>UP Los Baños and DOST-PCAARRD partners</x:v>
      </x:c>
    </x:row>
    <x:row r="48" ht="42" customHeight="1">
      <x:c r="D48" s="26" t="str">
        <x:v>D2-018</x:v>
      </x:c>
      <x:c r="E48" s="26" t="str">
        <x:v>Remote Sensing and Data Science Help Desk</x:v>
      </x:c>
      <x:c r="F48" s="26" t="str">
        <x:v>Primary</x:v>
      </x:c>
      <x:c r="G48" s="26" t="str">
        <x:v>Precision agriculture, EO, drones &amp; IoT</x:v>
      </x:c>
      <x:c r="H48" s="26" t="str">
        <x:v>Cross-sector</x:v>
      </x:c>
      <x:c r="I48" s="26" t="str">
        <x:v>Not dedicated</x:v>
      </x:c>
      <x:c r="J48" s="26" t="str">
        <x:v>Active / operational</x:v>
      </x:c>
      <x:c r="K48" s="26" t="str">
        <x:v>High</x:v>
      </x:c>
      <x:c r="L48" s="26" t="str">
        <x:v>DOST-Advanced Science and Technology Institute</x:v>
      </x:c>
    </x:row>
    <x:row r="49" ht="42" customHeight="1">
      <x:c r="D49" s="26" t="str">
        <x:v>D2-018</x:v>
      </x:c>
      <x:c r="E49" s="26" t="str">
        <x:v>Remote Sensing and Data Science Help Desk</x:v>
      </x:c>
      <x:c r="F49" s="26" t="str">
        <x:v>Secondary</x:v>
      </x:c>
      <x:c r="G49" s="26" t="str">
        <x:v>Data infrastructure, interoperability &amp; dashboards</x:v>
      </x:c>
      <x:c r="H49" s="26" t="str">
        <x:v>Cross-sector</x:v>
      </x:c>
      <x:c r="I49" s="26" t="str">
        <x:v>Not dedicated</x:v>
      </x:c>
      <x:c r="J49" s="26" t="str">
        <x:v>Active / operational</x:v>
      </x:c>
      <x:c r="K49" s="26" t="str">
        <x:v>High</x:v>
      </x:c>
      <x:c r="L49" s="26" t="str">
        <x:v>DOST-Advanced Science and Technology Institute</x:v>
      </x:c>
    </x:row>
    <x:row r="50" ht="42" customHeight="1">
      <x:c r="D50" s="26" t="str">
        <x:v>D2-019</x:v>
      </x:c>
      <x:c r="E50" s="26" t="str">
        <x:v>AI-Powered Weather Forecasting for a Resilient Philippines</x:v>
      </x:c>
      <x:c r="F50" s="26" t="str">
        <x:v>Primary</x:v>
      </x:c>
      <x:c r="G50" s="26" t="str">
        <x:v>Climate, weather &amp; early warning</x:v>
      </x:c>
      <x:c r="H50" s="26" t="str">
        <x:v>Cross-sector</x:v>
      </x:c>
      <x:c r="I50" s="26" t="str">
        <x:v>Not dedicated</x:v>
      </x:c>
      <x:c r="J50" s="26" t="str">
        <x:v>Project ongoing</x:v>
      </x:c>
      <x:c r="K50" s="26" t="str">
        <x:v>High</x:v>
      </x:c>
      <x:c r="L50" s="26" t="str">
        <x:v>DOST-ASTI, PAGASA and partners</x:v>
      </x:c>
    </x:row>
    <x:row r="51" ht="42" customHeight="1">
      <x:c r="D51" s="26" t="str">
        <x:v>D2-020</x:v>
      </x:c>
      <x:c r="E51" s="26" t="str">
        <x:v>Philippine Rice Statistics and Information System</x:v>
      </x:c>
      <x:c r="F51" s="26" t="str">
        <x:v>Secondary</x:v>
      </x:c>
      <x:c r="G51" s="26" t="str">
        <x:v>Advisory &amp; e-extension</x:v>
      </x:c>
      <x:c r="H51" s="26" t="str">
        <x:v>Rice / palay</x:v>
      </x:c>
      <x:c r="I51" s="26" t="str">
        <x:v>Not dedicated</x:v>
      </x:c>
      <x:c r="J51" s="26" t="str">
        <x:v>Active / operational</x:v>
      </x:c>
      <x:c r="K51" s="26" t="str">
        <x:v>High</x:v>
      </x:c>
      <x:c r="L51" s="26" t="str">
        <x:v>DA-PhilRice</x:v>
      </x:c>
    </x:row>
    <x:row r="52" ht="42" customHeight="1">
      <x:c r="D52" s="26" t="str">
        <x:v>D2-020</x:v>
      </x:c>
      <x:c r="E52" s="26" t="str">
        <x:v>Philippine Rice Statistics and Information System</x:v>
      </x:c>
      <x:c r="F52" s="26" t="str">
        <x:v>Primary</x:v>
      </x:c>
      <x:c r="G52" s="26" t="str">
        <x:v>Data infrastructure, interoperability &amp; dashboards</x:v>
      </x:c>
      <x:c r="H52" s="26" t="str">
        <x:v>Rice / palay</x:v>
      </x:c>
      <x:c r="I52" s="26" t="str">
        <x:v>Not dedicated</x:v>
      </x:c>
      <x:c r="J52" s="26" t="str">
        <x:v>Active / operational</x:v>
      </x:c>
      <x:c r="K52" s="26" t="str">
        <x:v>High</x:v>
      </x:c>
      <x:c r="L52" s="26" t="str">
        <x:v>DA-PhilRice</x:v>
      </x:c>
    </x:row>
    <x:row r="53" ht="42" customHeight="1">
      <x:c r="D53" s="26" t="str">
        <x:v>D2-021</x:v>
      </x:c>
      <x:c r="E53" s="26" t="str">
        <x:v>RiceLytics</x:v>
      </x:c>
      <x:c r="F53" s="26" t="str">
        <x:v>Secondary</x:v>
      </x:c>
      <x:c r="G53" s="26" t="str">
        <x:v>Advisory &amp; e-extension</x:v>
      </x:c>
      <x:c r="H53" s="26" t="str">
        <x:v>Rice / palay</x:v>
      </x:c>
      <x:c r="I53" s="26" t="str">
        <x:v>Not dedicated</x:v>
      </x:c>
      <x:c r="J53" s="26" t="str">
        <x:v>Active / operational</x:v>
      </x:c>
      <x:c r="K53" s="26" t="str">
        <x:v>High</x:v>
      </x:c>
      <x:c r="L53" s="26" t="str">
        <x:v>DA-PhilRice</x:v>
      </x:c>
    </x:row>
    <x:row r="54" ht="42" customHeight="1">
      <x:c r="D54" s="26" t="str">
        <x:v>D2-021</x:v>
      </x:c>
      <x:c r="E54" s="26" t="str">
        <x:v>RiceLytics</x:v>
      </x:c>
      <x:c r="F54" s="26" t="str">
        <x:v>Primary</x:v>
      </x:c>
      <x:c r="G54" s="26" t="str">
        <x:v>Data infrastructure, interoperability &amp; dashboards</x:v>
      </x:c>
      <x:c r="H54" s="26" t="str">
        <x:v>Rice / palay</x:v>
      </x:c>
      <x:c r="I54" s="26" t="str">
        <x:v>Not dedicated</x:v>
      </x:c>
      <x:c r="J54" s="26" t="str">
        <x:v>Active / operational</x:v>
      </x:c>
      <x:c r="K54" s="26" t="str">
        <x:v>High</x:v>
      </x:c>
      <x:c r="L54" s="26" t="str">
        <x:v>DA-PhilRice</x:v>
      </x:c>
    </x:row>
    <x:row r="55" ht="42" customHeight="1">
      <x:c r="D55" s="26" t="str">
        <x:v>D2-022</x:v>
      </x:c>
      <x:c r="E55" s="26" t="str">
        <x:v>PhilRice Climate-Smart Maps</x:v>
      </x:c>
      <x:c r="F55" s="26" t="str">
        <x:v>Primary</x:v>
      </x:c>
      <x:c r="G55" s="26" t="str">
        <x:v>Climate, weather &amp; early warning</x:v>
      </x:c>
      <x:c r="H55" s="26" t="str">
        <x:v>Rice / palay</x:v>
      </x:c>
      <x:c r="I55" s="26" t="str">
        <x:v>Not dedicated</x:v>
      </x:c>
      <x:c r="J55" s="26" t="str">
        <x:v>Status unverified</x:v>
      </x:c>
      <x:c r="K55" s="26" t="str">
        <x:v>High</x:v>
      </x:c>
      <x:c r="L55" s="26" t="str">
        <x:v>DA-PhilRice</x:v>
      </x:c>
    </x:row>
    <x:row r="56" ht="42" customHeight="1">
      <x:c r="D56" s="26" t="str">
        <x:v>D2-022</x:v>
      </x:c>
      <x:c r="E56" s="26" t="str">
        <x:v>PhilRice Climate-Smart Maps</x:v>
      </x:c>
      <x:c r="F56" s="26" t="str">
        <x:v>Secondary</x:v>
      </x:c>
      <x:c r="G56" s="26" t="str">
        <x:v>Precision agriculture, EO, drones &amp; IoT</x:v>
      </x:c>
      <x:c r="H56" s="26" t="str">
        <x:v>Rice / palay</x:v>
      </x:c>
      <x:c r="I56" s="26" t="str">
        <x:v>Not dedicated</x:v>
      </x:c>
      <x:c r="J56" s="26" t="str">
        <x:v>Status unverified</x:v>
      </x:c>
      <x:c r="K56" s="26" t="str">
        <x:v>High</x:v>
      </x:c>
      <x:c r="L56" s="26" t="str">
        <x:v>DA-PhilRice</x:v>
      </x:c>
    </x:row>
    <x:row r="57" ht="42" customHeight="1">
      <x:c r="D57" s="26" t="str">
        <x:v>D2-023</x:v>
      </x:c>
      <x:c r="E57" s="26" t="str">
        <x:v>Rice Crop Manager Advisory Service</x:v>
      </x:c>
      <x:c r="F57" s="26" t="str">
        <x:v>Secondary</x:v>
      </x:c>
      <x:c r="G57" s="26" t="str">
        <x:v>Advisory &amp; e-extension</x:v>
      </x:c>
      <x:c r="H57" s="26" t="str">
        <x:v>Rice / palay</x:v>
      </x:c>
      <x:c r="I57" s="26" t="str">
        <x:v>Not dedicated</x:v>
      </x:c>
      <x:c r="J57" s="26" t="str">
        <x:v>Active / transition / operational</x:v>
      </x:c>
      <x:c r="K57" s="26" t="str">
        <x:v>High</x:v>
      </x:c>
      <x:c r="L57" s="26" t="str">
        <x:v>DA, IRRI, PhilRice and ATI</x:v>
      </x:c>
    </x:row>
    <x:row r="58" ht="42" customHeight="1">
      <x:c r="D58" s="26" t="str">
        <x:v>D2-023</x:v>
      </x:c>
      <x:c r="E58" s="26" t="str">
        <x:v>Rice Crop Manager Advisory Service</x:v>
      </x:c>
      <x:c r="F58" s="26" t="str">
        <x:v>Primary</x:v>
      </x:c>
      <x:c r="G58" s="26" t="str">
        <x:v>Farm management &amp; decision support</x:v>
      </x:c>
      <x:c r="H58" s="26" t="str">
        <x:v>Rice / palay</x:v>
      </x:c>
      <x:c r="I58" s="26" t="str">
        <x:v>Not dedicated</x:v>
      </x:c>
      <x:c r="J58" s="26" t="str">
        <x:v>Active / transition / operational</x:v>
      </x:c>
      <x:c r="K58" s="26" t="str">
        <x:v>High</x:v>
      </x:c>
      <x:c r="L58" s="26" t="str">
        <x:v>DA, IRRI, PhilRice and ATI</x:v>
      </x:c>
    </x:row>
    <x:row r="59" ht="42" customHeight="1">
      <x:c r="D59" s="26" t="str">
        <x:v>D2-023</x:v>
      </x:c>
      <x:c r="E59" s="26" t="str">
        <x:v>Rice Crop Manager Advisory Service</x:v>
      </x:c>
      <x:c r="F59" s="26" t="str">
        <x:v>Secondary</x:v>
      </x:c>
      <x:c r="G59" s="26" t="str">
        <x:v>Inputs, seed &amp; nutrient tools</x:v>
      </x:c>
      <x:c r="H59" s="26" t="str">
        <x:v>Rice / palay</x:v>
      </x:c>
      <x:c r="I59" s="26" t="str">
        <x:v>Not dedicated</x:v>
      </x:c>
      <x:c r="J59" s="26" t="str">
        <x:v>Active / transition / operational</x:v>
      </x:c>
      <x:c r="K59" s="26" t="str">
        <x:v>High</x:v>
      </x:c>
      <x:c r="L59" s="26" t="str">
        <x:v>DA, IRRI, PhilRice and ATI</x:v>
      </x:c>
    </x:row>
    <x:row r="60" ht="42" customHeight="1">
      <x:c r="D60" s="26" t="str">
        <x:v>D2-024</x:v>
      </x:c>
      <x:c r="E60" s="26" t="str">
        <x:v>SeedCast</x:v>
      </x:c>
      <x:c r="F60" s="26" t="str">
        <x:v>Secondary</x:v>
      </x:c>
      <x:c r="G60" s="26" t="str">
        <x:v>Climate, weather &amp; early warning</x:v>
      </x:c>
      <x:c r="H60" s="26" t="str">
        <x:v>Rice / palay; Seeds / germplasm / breeds</x:v>
      </x:c>
      <x:c r="I60" s="26" t="str">
        <x:v>Not dedicated</x:v>
      </x:c>
      <x:c r="J60" s="26" t="str">
        <x:v>Status unverified</x:v>
      </x:c>
      <x:c r="K60" s="26" t="str">
        <x:v>Medium</x:v>
      </x:c>
      <x:c r="L60" s="26" t="str">
        <x:v>IRRI and Philippine partners</x:v>
      </x:c>
    </x:row>
    <x:row r="61" ht="42" customHeight="1">
      <x:c r="D61" s="26" t="str">
        <x:v>D2-024</x:v>
      </x:c>
      <x:c r="E61" s="26" t="str">
        <x:v>SeedCast</x:v>
      </x:c>
      <x:c r="F61" s="26" t="str">
        <x:v>Primary</x:v>
      </x:c>
      <x:c r="G61" s="26" t="str">
        <x:v>Inputs, seed &amp; nutrient tools</x:v>
      </x:c>
      <x:c r="H61" s="26" t="str">
        <x:v>Rice / palay; Seeds / germplasm / breeds</x:v>
      </x:c>
      <x:c r="I61" s="26" t="str">
        <x:v>Not dedicated</x:v>
      </x:c>
      <x:c r="J61" s="26" t="str">
        <x:v>Status unverified</x:v>
      </x:c>
      <x:c r="K61" s="26" t="str">
        <x:v>Medium</x:v>
      </x:c>
      <x:c r="L61" s="26" t="str">
        <x:v>IRRI and Philippine partners</x:v>
      </x:c>
    </x:row>
    <x:row r="62" ht="42" customHeight="1">
      <x:c r="D62" s="26" t="str">
        <x:v>D2-024</x:v>
      </x:c>
      <x:c r="E62" s="26" t="str">
        <x:v>SeedCast</x:v>
      </x:c>
      <x:c r="F62" s="26" t="str">
        <x:v>Secondary</x:v>
      </x:c>
      <x:c r="G62" s="26" t="str">
        <x:v>Data infrastructure, interoperability &amp; dashboards</x:v>
      </x:c>
      <x:c r="H62" s="26" t="str">
        <x:v>Rice / palay; Seeds / germplasm / breeds</x:v>
      </x:c>
      <x:c r="I62" s="26" t="str">
        <x:v>Not dedicated</x:v>
      </x:c>
      <x:c r="J62" s="26" t="str">
        <x:v>Status unverified</x:v>
      </x:c>
      <x:c r="K62" s="26" t="str">
        <x:v>Medium</x:v>
      </x:c>
      <x:c r="L62" s="26" t="str">
        <x:v>IRRI and Philippine partners</x:v>
      </x:c>
    </x:row>
    <x:row r="63" ht="42" customHeight="1">
      <x:c r="D63" s="26" t="str">
        <x:v>D2-025</x:v>
      </x:c>
      <x:c r="E63" s="26" t="str">
        <x:v>4DFarms</x:v>
      </x:c>
      <x:c r="F63" s="26" t="str">
        <x:v>Primary</x:v>
      </x:c>
      <x:c r="G63" s="26" t="str">
        <x:v>Precision agriculture, EO, drones &amp; IoT</x:v>
      </x:c>
      <x:c r="H63" s="26" t="str">
        <x:v>Rice / palay</x:v>
      </x:c>
      <x:c r="I63" s="26" t="str">
        <x:v>Not dedicated</x:v>
      </x:c>
      <x:c r="J63" s="26" t="str">
        <x:v>Project ongoing</x:v>
      </x:c>
      <x:c r="K63" s="26" t="str">
        <x:v>Medium</x:v>
      </x:c>
      <x:c r="L63" s="26" t="str">
        <x:v>IRRI and DA partners</x:v>
      </x:c>
    </x:row>
    <x:row r="64" ht="42" customHeight="1">
      <x:c r="D64" s="26" t="str">
        <x:v>D2-026</x:v>
      </x:c>
      <x:c r="E64" s="26" t="str">
        <x:v>Scaling Rice Crop Manager</x:v>
      </x:c>
      <x:c r="F64" s="26" t="str">
        <x:v>Secondary</x:v>
      </x:c>
      <x:c r="G64" s="26" t="str">
        <x:v>Advisory &amp; e-extension</x:v>
      </x:c>
      <x:c r="H64" s="26" t="str">
        <x:v>Rice / palay</x:v>
      </x:c>
      <x:c r="I64" s="26" t="str">
        <x:v>Not dedicated</x:v>
      </x:c>
      <x:c r="J64" s="26" t="str">
        <x:v>Project ongoing</x:v>
      </x:c>
      <x:c r="K64" s="26" t="str">
        <x:v>High</x:v>
      </x:c>
      <x:c r="L64" s="26" t="str">
        <x:v>IRRI, DA, ATI and partners</x:v>
      </x:c>
    </x:row>
    <x:row r="65" ht="42" customHeight="1">
      <x:c r="D65" s="26" t="str">
        <x:v>D2-026</x:v>
      </x:c>
      <x:c r="E65" s="26" t="str">
        <x:v>Scaling Rice Crop Manager</x:v>
      </x:c>
      <x:c r="F65" s="26" t="str">
        <x:v>Primary</x:v>
      </x:c>
      <x:c r="G65" s="26" t="str">
        <x:v>Farm management &amp; decision support</x:v>
      </x:c>
      <x:c r="H65" s="26" t="str">
        <x:v>Rice / palay</x:v>
      </x:c>
      <x:c r="I65" s="26" t="str">
        <x:v>Not dedicated</x:v>
      </x:c>
      <x:c r="J65" s="26" t="str">
        <x:v>Project ongoing</x:v>
      </x:c>
      <x:c r="K65" s="26" t="str">
        <x:v>High</x:v>
      </x:c>
      <x:c r="L65" s="26" t="str">
        <x:v>IRRI, DA, ATI and partners</x:v>
      </x:c>
    </x:row>
    <x:row r="66" ht="42" customHeight="1">
      <x:c r="D66" s="26" t="str">
        <x:v>D2-027</x:v>
      </x:c>
      <x:c r="E66" s="26" t="str">
        <x:v>Drones4Rice</x:v>
      </x:c>
      <x:c r="F66" s="26" t="str">
        <x:v>Primary</x:v>
      </x:c>
      <x:c r="G66" s="26" t="str">
        <x:v>Precision agriculture, EO, drones &amp; IoT</x:v>
      </x:c>
      <x:c r="H66" s="26" t="str">
        <x:v>Rice / palay; Seeds / germplasm / breeds</x:v>
      </x:c>
      <x:c r="I66" s="26" t="str">
        <x:v>Not dedicated</x:v>
      </x:c>
      <x:c r="J66" s="26" t="str">
        <x:v>Project ongoing</x:v>
      </x:c>
      <x:c r="K66" s="26" t="str">
        <x:v>High</x:v>
      </x:c>
      <x:c r="L66" s="26" t="str">
        <x:v>IRRI, DA-PhilRice, DA-BAR, regulators and providers</x:v>
      </x:c>
    </x:row>
    <x:row r="67" ht="42" customHeight="1">
      <x:c r="D67" s="26" t="str">
        <x:v>D2-027</x:v>
      </x:c>
      <x:c r="E67" s="26" t="str">
        <x:v>Drones4Rice</x:v>
      </x:c>
      <x:c r="F67" s="26" t="str">
        <x:v>Secondary</x:v>
      </x:c>
      <x:c r="G67" s="26" t="str">
        <x:v>Inputs, seed &amp; nutrient tools</x:v>
      </x:c>
      <x:c r="H67" s="26" t="str">
        <x:v>Rice / palay; Seeds / germplasm / breeds</x:v>
      </x:c>
      <x:c r="I67" s="26" t="str">
        <x:v>Not dedicated</x:v>
      </x:c>
      <x:c r="J67" s="26" t="str">
        <x:v>Project ongoing</x:v>
      </x:c>
      <x:c r="K67" s="26" t="str">
        <x:v>High</x:v>
      </x:c>
      <x:c r="L67" s="26" t="str">
        <x:v>IRRI, DA-PhilRice, DA-BAR, regulators and providers</x:v>
      </x:c>
    </x:row>
    <x:row r="68" ht="42" customHeight="1">
      <x:c r="D68" s="26" t="str">
        <x:v>D2-027</x:v>
      </x:c>
      <x:c r="E68" s="26" t="str">
        <x:v>Drones4Rice</x:v>
      </x:c>
      <x:c r="F68" s="26" t="str">
        <x:v>Secondary</x:v>
      </x:c>
      <x:c r="G68" s="26" t="str">
        <x:v>Mechanization &amp; equipment-as-a-service</x:v>
      </x:c>
      <x:c r="H68" s="26" t="str">
        <x:v>Rice / palay; Seeds / germplasm / breeds</x:v>
      </x:c>
      <x:c r="I68" s="26" t="str">
        <x:v>Not dedicated</x:v>
      </x:c>
      <x:c r="J68" s="26" t="str">
        <x:v>Project ongoing</x:v>
      </x:c>
      <x:c r="K68" s="26" t="str">
        <x:v>High</x:v>
      </x:c>
      <x:c r="L68" s="26" t="str">
        <x:v>IRRI, DA-PhilRice, DA-BAR, regulators and providers</x:v>
      </x:c>
    </x:row>
    <x:row r="69" ht="42" customHeight="1">
      <x:c r="D69" s="26" t="str">
        <x:v>D2-028</x:v>
      </x:c>
      <x:c r="E69" s="26" t="str">
        <x:v>Binhing Palay</x:v>
      </x:c>
      <x:c r="F69" s="26" t="str">
        <x:v>Secondary</x:v>
      </x:c>
      <x:c r="G69" s="26" t="str">
        <x:v>Advisory &amp; e-extension</x:v>
      </x:c>
      <x:c r="H69" s="26" t="str">
        <x:v>Rice / palay; Seeds / germplasm / breeds</x:v>
      </x:c>
      <x:c r="I69" s="26" t="str">
        <x:v>Not dedicated</x:v>
      </x:c>
      <x:c r="J69" s="26" t="str">
        <x:v>Active / operational</x:v>
      </x:c>
      <x:c r="K69" s="26" t="str">
        <x:v>High</x:v>
      </x:c>
      <x:c r="L69" s="26" t="str">
        <x:v>DA-PhilRice</x:v>
      </x:c>
    </x:row>
    <x:row r="70" ht="42" customHeight="1">
      <x:c r="D70" s="26" t="str">
        <x:v>D2-028</x:v>
      </x:c>
      <x:c r="E70" s="26" t="str">
        <x:v>Binhing Palay</x:v>
      </x:c>
      <x:c r="F70" s="26" t="str">
        <x:v>Primary</x:v>
      </x:c>
      <x:c r="G70" s="26" t="str">
        <x:v>Inputs, seed &amp; nutrient tools</x:v>
      </x:c>
      <x:c r="H70" s="26" t="str">
        <x:v>Rice / palay; Seeds / germplasm / breeds</x:v>
      </x:c>
      <x:c r="I70" s="26" t="str">
        <x:v>Not dedicated</x:v>
      </x:c>
      <x:c r="J70" s="26" t="str">
        <x:v>Active / operational</x:v>
      </x:c>
      <x:c r="K70" s="26" t="str">
        <x:v>High</x:v>
      </x:c>
      <x:c r="L70" s="26" t="str">
        <x:v>DA-PhilRice</x:v>
      </x:c>
    </x:row>
    <x:row r="71" ht="42" customHeight="1">
      <x:c r="D71" s="26" t="str">
        <x:v>D2-029</x:v>
      </x:c>
      <x:c r="E71" s="26" t="str">
        <x:v>e-Damuhan</x:v>
      </x:c>
      <x:c r="F71" s="26" t="str">
        <x:v>Secondary</x:v>
      </x:c>
      <x:c r="G71" s="26" t="str">
        <x:v>Registry &amp; digital identity</x:v>
      </x:c>
      <x:c r="H71" s="26" t="str">
        <x:v>Rice / palay</x:v>
      </x:c>
      <x:c r="I71" s="26" t="str">
        <x:v>Not dedicated</x:v>
      </x:c>
      <x:c r="J71" s="26" t="str">
        <x:v>Active / operational</x:v>
      </x:c>
      <x:c r="K71" s="26" t="str">
        <x:v>High</x:v>
      </x:c>
      <x:c r="L71" s="26" t="str">
        <x:v>DA-PhilRice</x:v>
      </x:c>
    </x:row>
    <x:row r="72" ht="42" customHeight="1">
      <x:c r="D72" s="26" t="str">
        <x:v>D2-029</x:v>
      </x:c>
      <x:c r="E72" s="26" t="str">
        <x:v>e-Damuhan</x:v>
      </x:c>
      <x:c r="F72" s="26" t="str">
        <x:v>Secondary</x:v>
      </x:c>
      <x:c r="G72" s="26" t="str">
        <x:v>Advisory &amp; e-extension</x:v>
      </x:c>
      <x:c r="H72" s="26" t="str">
        <x:v>Rice / palay</x:v>
      </x:c>
      <x:c r="I72" s="26" t="str">
        <x:v>Not dedicated</x:v>
      </x:c>
      <x:c r="J72" s="26" t="str">
        <x:v>Active / operational</x:v>
      </x:c>
      <x:c r="K72" s="26" t="str">
        <x:v>High</x:v>
      </x:c>
      <x:c r="L72" s="26" t="str">
        <x:v>DA-PhilRice</x:v>
      </x:c>
    </x:row>
    <x:row r="73" ht="42" customHeight="1">
      <x:c r="D73" s="26" t="str">
        <x:v>D2-029</x:v>
      </x:c>
      <x:c r="E73" s="26" t="str">
        <x:v>e-Damuhan</x:v>
      </x:c>
      <x:c r="F73" s="26" t="str">
        <x:v>Primary</x:v>
      </x:c>
      <x:c r="G73" s="26" t="str">
        <x:v>Pest, disease &amp; biosecurity</x:v>
      </x:c>
      <x:c r="H73" s="26" t="str">
        <x:v>Rice / palay</x:v>
      </x:c>
      <x:c r="I73" s="26" t="str">
        <x:v>Not dedicated</x:v>
      </x:c>
      <x:c r="J73" s="26" t="str">
        <x:v>Active / operational</x:v>
      </x:c>
      <x:c r="K73" s="26" t="str">
        <x:v>High</x:v>
      </x:c>
      <x:c r="L73" s="26" t="str">
        <x:v>DA-PhilRice</x:v>
      </x:c>
    </x:row>
    <x:row r="74" ht="42" customHeight="1">
      <x:c r="D74" s="26" t="str">
        <x:v>D2-030</x:v>
      </x:c>
      <x:c r="E74" s="26" t="str">
        <x:v>Minus-One Element Technique App</x:v>
      </x:c>
      <x:c r="F74" s="26" t="str">
        <x:v>Secondary</x:v>
      </x:c>
      <x:c r="G74" s="26" t="str">
        <x:v>Advisory &amp; e-extension</x:v>
      </x:c>
      <x:c r="H74" s="26" t="str">
        <x:v>Rice / palay</x:v>
      </x:c>
      <x:c r="I74" s="26" t="str">
        <x:v>Not dedicated</x:v>
      </x:c>
      <x:c r="J74" s="26" t="str">
        <x:v>Active / operational</x:v>
      </x:c>
      <x:c r="K74" s="26" t="str">
        <x:v>High</x:v>
      </x:c>
      <x:c r="L74" s="26" t="str">
        <x:v>DA-PhilRice</x:v>
      </x:c>
    </x:row>
    <x:row r="75" ht="42" customHeight="1">
      <x:c r="D75" s="26" t="str">
        <x:v>D2-030</x:v>
      </x:c>
      <x:c r="E75" s="26" t="str">
        <x:v>Minus-One Element Technique App</x:v>
      </x:c>
      <x:c r="F75" s="26" t="str">
        <x:v>Secondary</x:v>
      </x:c>
      <x:c r="G75" s="26" t="str">
        <x:v>Pest, disease &amp; biosecurity</x:v>
      </x:c>
      <x:c r="H75" s="26" t="str">
        <x:v>Rice / palay</x:v>
      </x:c>
      <x:c r="I75" s="26" t="str">
        <x:v>Not dedicated</x:v>
      </x:c>
      <x:c r="J75" s="26" t="str">
        <x:v>Active / operational</x:v>
      </x:c>
      <x:c r="K75" s="26" t="str">
        <x:v>High</x:v>
      </x:c>
      <x:c r="L75" s="26" t="str">
        <x:v>DA-PhilRice</x:v>
      </x:c>
    </x:row>
    <x:row r="76" ht="42" customHeight="1">
      <x:c r="D76" s="26" t="str">
        <x:v>D2-030</x:v>
      </x:c>
      <x:c r="E76" s="26" t="str">
        <x:v>Minus-One Element Technique App</x:v>
      </x:c>
      <x:c r="F76" s="26" t="str">
        <x:v>Primary</x:v>
      </x:c>
      <x:c r="G76" s="26" t="str">
        <x:v>Inputs, seed &amp; nutrient tools</x:v>
      </x:c>
      <x:c r="H76" s="26" t="str">
        <x:v>Rice / palay</x:v>
      </x:c>
      <x:c r="I76" s="26" t="str">
        <x:v>Not dedicated</x:v>
      </x:c>
      <x:c r="J76" s="26" t="str">
        <x:v>Active / operational</x:v>
      </x:c>
      <x:c r="K76" s="26" t="str">
        <x:v>High</x:v>
      </x:c>
      <x:c r="L76" s="26" t="str">
        <x:v>DA-PhilRice</x:v>
      </x:c>
    </x:row>
    <x:row r="77" ht="42" customHeight="1">
      <x:c r="D77" s="26" t="str">
        <x:v>D2-031</x:v>
      </x:c>
      <x:c r="E77" s="26" t="str">
        <x:v>Leaf Color Chart App Pro</x:v>
      </x:c>
      <x:c r="F77" s="26" t="str">
        <x:v>Secondary</x:v>
      </x:c>
      <x:c r="G77" s="26" t="str">
        <x:v>Advisory &amp; e-extension</x:v>
      </x:c>
      <x:c r="H77" s="26" t="str">
        <x:v>Rice / palay</x:v>
      </x:c>
      <x:c r="I77" s="26" t="str">
        <x:v>Not dedicated</x:v>
      </x:c>
      <x:c r="J77" s="26" t="str">
        <x:v>Active / operational</x:v>
      </x:c>
      <x:c r="K77" s="26" t="str">
        <x:v>High</x:v>
      </x:c>
      <x:c r="L77" s="26" t="str">
        <x:v>DA-PhilRice</x:v>
      </x:c>
    </x:row>
    <x:row r="78" ht="42" customHeight="1">
      <x:c r="D78" s="26" t="str">
        <x:v>D2-031</x:v>
      </x:c>
      <x:c r="E78" s="26" t="str">
        <x:v>Leaf Color Chart App Pro</x:v>
      </x:c>
      <x:c r="F78" s="26" t="str">
        <x:v>Primary</x:v>
      </x:c>
      <x:c r="G78" s="26" t="str">
        <x:v>Inputs, seed &amp; nutrient tools</x:v>
      </x:c>
      <x:c r="H78" s="26" t="str">
        <x:v>Rice / palay</x:v>
      </x:c>
      <x:c r="I78" s="26" t="str">
        <x:v>Not dedicated</x:v>
      </x:c>
      <x:c r="J78" s="26" t="str">
        <x:v>Active / operational</x:v>
      </x:c>
      <x:c r="K78" s="26" t="str">
        <x:v>High</x:v>
      </x:c>
      <x:c r="L78" s="26" t="str">
        <x:v>DA-PhilRice</x:v>
      </x:c>
    </x:row>
    <x:row r="79" ht="42" customHeight="1">
      <x:c r="D79" s="26" t="str">
        <x:v>D2-032</x:v>
      </x:c>
      <x:c r="E79" s="26" t="str">
        <x:v>PalayCheck App</x:v>
      </x:c>
      <x:c r="F79" s="26" t="str">
        <x:v>Secondary</x:v>
      </x:c>
      <x:c r="G79" s="26" t="str">
        <x:v>Advisory &amp; e-extension</x:v>
      </x:c>
      <x:c r="H79" s="26" t="str">
        <x:v>Rice / palay</x:v>
      </x:c>
      <x:c r="I79" s="26" t="str">
        <x:v>Not dedicated</x:v>
      </x:c>
      <x:c r="J79" s="26" t="str">
        <x:v>Active / operational</x:v>
      </x:c>
      <x:c r="K79" s="26" t="str">
        <x:v>High</x:v>
      </x:c>
      <x:c r="L79" s="26" t="str">
        <x:v>DA-PhilRice</x:v>
      </x:c>
    </x:row>
    <x:row r="80" ht="42" customHeight="1">
      <x:c r="D80" s="26" t="str">
        <x:v>D2-032</x:v>
      </x:c>
      <x:c r="E80" s="26" t="str">
        <x:v>PalayCheck App</x:v>
      </x:c>
      <x:c r="F80" s="26" t="str">
        <x:v>Primary</x:v>
      </x:c>
      <x:c r="G80" s="26" t="str">
        <x:v>Farm management &amp; decision support</x:v>
      </x:c>
      <x:c r="H80" s="26" t="str">
        <x:v>Rice / palay</x:v>
      </x:c>
      <x:c r="I80" s="26" t="str">
        <x:v>Not dedicated</x:v>
      </x:c>
      <x:c r="J80" s="26" t="str">
        <x:v>Active / operational</x:v>
      </x:c>
      <x:c r="K80" s="26" t="str">
        <x:v>High</x:v>
      </x:c>
      <x:c r="L80" s="26" t="str">
        <x:v>DA-PhilRice</x:v>
      </x:c>
    </x:row>
    <x:row r="81" ht="42" customHeight="1">
      <x:c r="D81" s="26" t="str">
        <x:v>D2-033</x:v>
      </x:c>
      <x:c r="E81" s="26" t="str">
        <x:v>AgriDoc App</x:v>
      </x:c>
      <x:c r="F81" s="26" t="str">
        <x:v>Primary</x:v>
      </x:c>
      <x:c r="G81" s="26" t="str">
        <x:v>Advisory &amp; e-extension</x:v>
      </x:c>
      <x:c r="H81" s="26" t="str">
        <x:v>Rice / palay</x:v>
      </x:c>
      <x:c r="I81" s="26" t="str">
        <x:v>Not dedicated</x:v>
      </x:c>
      <x:c r="J81" s="26" t="str">
        <x:v>Status unverified</x:v>
      </x:c>
      <x:c r="K81" s="26" t="str">
        <x:v>Low</x:v>
      </x:c>
      <x:c r="L81" s="26" t="str">
        <x:v>DA-ATI / PhilRice-associated extension initiative</x:v>
      </x:c>
    </x:row>
    <x:row r="82" ht="42" customHeight="1">
      <x:c r="D82" s="26" t="str">
        <x:v>D2-034</x:v>
      </x:c>
      <x:c r="E82" s="26" t="str">
        <x:v>WateRice</x:v>
      </x:c>
      <x:c r="F82" s="26" t="str">
        <x:v>Secondary</x:v>
      </x:c>
      <x:c r="G82" s="26" t="str">
        <x:v>Advisory &amp; e-extension</x:v>
      </x:c>
      <x:c r="H82" s="26" t="str">
        <x:v>Rice / palay</x:v>
      </x:c>
      <x:c r="I82" s="26" t="str">
        <x:v>Not dedicated</x:v>
      </x:c>
      <x:c r="J82" s="26" t="str">
        <x:v>Status unverified</x:v>
      </x:c>
      <x:c r="K82" s="26" t="str">
        <x:v>Medium</x:v>
      </x:c>
      <x:c r="L82" s="26" t="str">
        <x:v>DA-PhilRice and partners</x:v>
      </x:c>
    </x:row>
    <x:row r="83" ht="42" customHeight="1">
      <x:c r="D83" s="26" t="str">
        <x:v>D2-034</x:v>
      </x:c>
      <x:c r="E83" s="26" t="str">
        <x:v>WateRice</x:v>
      </x:c>
      <x:c r="F83" s="26" t="str">
        <x:v>Primary</x:v>
      </x:c>
      <x:c r="G83" s="26" t="str">
        <x:v>Farm management &amp; decision support</x:v>
      </x:c>
      <x:c r="H83" s="26" t="str">
        <x:v>Rice / palay</x:v>
      </x:c>
      <x:c r="I83" s="26" t="str">
        <x:v>Not dedicated</x:v>
      </x:c>
      <x:c r="J83" s="26" t="str">
        <x:v>Status unverified</x:v>
      </x:c>
      <x:c r="K83" s="26" t="str">
        <x:v>Medium</x:v>
      </x:c>
      <x:c r="L83" s="26" t="str">
        <x:v>DA-PhilRice and partners</x:v>
      </x:c>
    </x:row>
    <x:row r="84" ht="42" customHeight="1">
      <x:c r="D84" s="26" t="str">
        <x:v>D2-035</x:v>
      </x:c>
      <x:c r="E84" s="26" t="str">
        <x:v>Pinoy Rice Knowledge Bank</x:v>
      </x:c>
      <x:c r="F84" s="26" t="str">
        <x:v>Primary</x:v>
      </x:c>
      <x:c r="G84" s="26" t="str">
        <x:v>Advisory &amp; e-extension</x:v>
      </x:c>
      <x:c r="H84" s="26" t="str">
        <x:v>Rice / palay</x:v>
      </x:c>
      <x:c r="I84" s="26" t="str">
        <x:v>Not dedicated</x:v>
      </x:c>
      <x:c r="J84" s="26" t="str">
        <x:v>Active / operational</x:v>
      </x:c>
      <x:c r="K84" s="26" t="str">
        <x:v>High</x:v>
      </x:c>
      <x:c r="L84" s="26" t="str">
        <x:v>DA-PhilRice</x:v>
      </x:c>
    </x:row>
    <x:row r="85" ht="42" customHeight="1">
      <x:c r="D85" s="26" t="str">
        <x:v>D2-036</x:v>
      </x:c>
      <x:c r="E85" s="26" t="str">
        <x:v>IRRI Rice Knowledge Bank</x:v>
      </x:c>
      <x:c r="F85" s="26" t="str">
        <x:v>Primary</x:v>
      </x:c>
      <x:c r="G85" s="26" t="str">
        <x:v>Advisory &amp; e-extension</x:v>
      </x:c>
      <x:c r="H85" s="26" t="str">
        <x:v>Rice / palay</x:v>
      </x:c>
      <x:c r="I85" s="26" t="str">
        <x:v>Not dedicated</x:v>
      </x:c>
      <x:c r="J85" s="26" t="str">
        <x:v>Active / operational</x:v>
      </x:c>
      <x:c r="K85" s="26" t="str">
        <x:v>Medium</x:v>
      </x:c>
      <x:c r="L85" s="26" t="str">
        <x:v>International Rice Research Institute</x:v>
      </x:c>
    </x:row>
    <x:row r="86" ht="42" customHeight="1">
      <x:c r="D86" s="26" t="str">
        <x:v>D2-037</x:v>
      </x:c>
      <x:c r="E86" s="26" t="str">
        <x:v>Smarter Pest Identification Technology</x:v>
      </x:c>
      <x:c r="F86" s="26" t="str">
        <x:v>Secondary</x:v>
      </x:c>
      <x:c r="G86" s="26" t="str">
        <x:v>Registry &amp; digital identity</x:v>
      </x:c>
      <x:c r="H86" s="26" t="str">
        <x:v>Cross-sector</x:v>
      </x:c>
      <x:c r="I86" s="26" t="str">
        <x:v>Not dedicated</x:v>
      </x:c>
      <x:c r="J86" s="26" t="str">
        <x:v>Active / operational</x:v>
      </x:c>
      <x:c r="K86" s="26" t="str">
        <x:v>High</x:v>
      </x:c>
      <x:c r="L86" s="26" t="str">
        <x:v>UP Los Baños / DOST-PCAARRD partners</x:v>
      </x:c>
    </x:row>
    <x:row r="87" ht="42" customHeight="1">
      <x:c r="D87" s="26" t="str">
        <x:v>D2-037</x:v>
      </x:c>
      <x:c r="E87" s="26" t="str">
        <x:v>Smarter Pest Identification Technology</x:v>
      </x:c>
      <x:c r="F87" s="26" t="str">
        <x:v>Secondary</x:v>
      </x:c>
      <x:c r="G87" s="26" t="str">
        <x:v>Advisory &amp; e-extension</x:v>
      </x:c>
      <x:c r="H87" s="26" t="str">
        <x:v>Cross-sector</x:v>
      </x:c>
      <x:c r="I87" s="26" t="str">
        <x:v>Not dedicated</x:v>
      </x:c>
      <x:c r="J87" s="26" t="str">
        <x:v>Active / operational</x:v>
      </x:c>
      <x:c r="K87" s="26" t="str">
        <x:v>High</x:v>
      </x:c>
      <x:c r="L87" s="26" t="str">
        <x:v>UP Los Baños / DOST-PCAARRD partners</x:v>
      </x:c>
    </x:row>
    <x:row r="88" ht="42" customHeight="1">
      <x:c r="D88" s="26" t="str">
        <x:v>D2-037</x:v>
      </x:c>
      <x:c r="E88" s="26" t="str">
        <x:v>Smarter Pest Identification Technology</x:v>
      </x:c>
      <x:c r="F88" s="26" t="str">
        <x:v>Secondary</x:v>
      </x:c>
      <x:c r="G88" s="26" t="str">
        <x:v>Precision agriculture, EO, drones &amp; IoT</x:v>
      </x:c>
      <x:c r="H88" s="26" t="str">
        <x:v>Cross-sector</x:v>
      </x:c>
      <x:c r="I88" s="26" t="str">
        <x:v>Not dedicated</x:v>
      </x:c>
      <x:c r="J88" s="26" t="str">
        <x:v>Active / operational</x:v>
      </x:c>
      <x:c r="K88" s="26" t="str">
        <x:v>High</x:v>
      </x:c>
      <x:c r="L88" s="26" t="str">
        <x:v>UP Los Baños / DOST-PCAARRD partners</x:v>
      </x:c>
    </x:row>
    <x:row r="89" ht="42" customHeight="1">
      <x:c r="D89" s="26" t="str">
        <x:v>D2-037</x:v>
      </x:c>
      <x:c r="E89" s="26" t="str">
        <x:v>Smarter Pest Identification Technology</x:v>
      </x:c>
      <x:c r="F89" s="26" t="str">
        <x:v>Primary</x:v>
      </x:c>
      <x:c r="G89" s="26" t="str">
        <x:v>Pest, disease &amp; biosecurity</x:v>
      </x:c>
      <x:c r="H89" s="26" t="str">
        <x:v>Cross-sector</x:v>
      </x:c>
      <x:c r="I89" s="26" t="str">
        <x:v>Not dedicated</x:v>
      </x:c>
      <x:c r="J89" s="26" t="str">
        <x:v>Active / operational</x:v>
      </x:c>
      <x:c r="K89" s="26" t="str">
        <x:v>High</x:v>
      </x:c>
      <x:c r="L89" s="26" t="str">
        <x:v>UP Los Baños / DOST-PCAARRD partners</x:v>
      </x:c>
    </x:row>
    <x:row r="90" ht="42" customHeight="1">
      <x:c r="D90" s="26" t="str">
        <x:v>D2-038</x:v>
      </x:c>
      <x:c r="E90" s="26" t="str">
        <x:v>Image-based Pest Diagnosis for Enhanced Agriculture in Region II</x:v>
      </x:c>
      <x:c r="F90" s="26" t="str">
        <x:v>Primary</x:v>
      </x:c>
      <x:c r="G90" s="26" t="str">
        <x:v>Pest, disease &amp; biosecurity</x:v>
      </x:c>
      <x:c r="H90" s="26" t="str">
        <x:v>Cross-sector</x:v>
      </x:c>
      <x:c r="I90" s="26" t="str">
        <x:v>Not dedicated</x:v>
      </x:c>
      <x:c r="J90" s="26" t="str">
        <x:v>Pilot / prototype</x:v>
      </x:c>
      <x:c r="K90" s="26" t="str">
        <x:v>Medium</x:v>
      </x:c>
      <x:c r="L90" s="26" t="str">
        <x:v>DA Regional Field Office II and partners</x:v>
      </x:c>
    </x:row>
    <x:row r="91" ht="42" customHeight="1">
      <x:c r="D91" s="26" t="str">
        <x:v>D2-039</x:v>
      </x:c>
      <x:c r="E91" s="26" t="str">
        <x:v>Precision and Digital Agriculture Center</x:v>
      </x:c>
      <x:c r="F91" s="26" t="str">
        <x:v>Secondary</x:v>
      </x:c>
      <x:c r="G91" s="26" t="str">
        <x:v>Advisory &amp; e-extension</x:v>
      </x:c>
      <x:c r="H91" s="26" t="str">
        <x:v>Cross-sector</x:v>
      </x:c>
      <x:c r="I91" s="26" t="str">
        <x:v>Not dedicated</x:v>
      </x:c>
      <x:c r="J91" s="26" t="str">
        <x:v>Active / operational</x:v>
      </x:c>
      <x:c r="K91" s="26" t="str">
        <x:v>High</x:v>
      </x:c>
      <x:c r="L91" s="26" t="str">
        <x:v>Central Luzon State University</x:v>
      </x:c>
    </x:row>
    <x:row r="92" ht="42" customHeight="1">
      <x:c r="D92" s="26" t="str">
        <x:v>D2-039</x:v>
      </x:c>
      <x:c r="E92" s="26" t="str">
        <x:v>Precision and Digital Agriculture Center</x:v>
      </x:c>
      <x:c r="F92" s="26" t="str">
        <x:v>Primary</x:v>
      </x:c>
      <x:c r="G92" s="26" t="str">
        <x:v>Training, capacity &amp; innovation hubs</x:v>
      </x:c>
      <x:c r="H92" s="26" t="str">
        <x:v>Cross-sector</x:v>
      </x:c>
      <x:c r="I92" s="26" t="str">
        <x:v>Not dedicated</x:v>
      </x:c>
      <x:c r="J92" s="26" t="str">
        <x:v>Active / operational</x:v>
      </x:c>
      <x:c r="K92" s="26" t="str">
        <x:v>High</x:v>
      </x:c>
      <x:c r="L92" s="26" t="str">
        <x:v>Central Luzon State University</x:v>
      </x:c>
    </x:row>
    <x:row r="93" ht="42" customHeight="1">
      <x:c r="D93" s="26" t="str">
        <x:v>D2-040</x:v>
      </x:c>
      <x:c r="E93" s="26" t="str">
        <x:v>e-Extension Program for Agriculture and Fisheries</x:v>
      </x:c>
      <x:c r="F93" s="26" t="str">
        <x:v>Primary</x:v>
      </x:c>
      <x:c r="G93" s="26" t="str">
        <x:v>Advisory &amp; e-extension</x:v>
      </x:c>
      <x:c r="H93" s="26" t="str">
        <x:v>Cross-sector; Fisheries &amp; aquaculture</x:v>
      </x:c>
      <x:c r="I93" s="26" t="str">
        <x:v>Not dedicated</x:v>
      </x:c>
      <x:c r="J93" s="26" t="str">
        <x:v>Active / operational</x:v>
      </x:c>
      <x:c r="K93" s="26" t="str">
        <x:v>High</x:v>
      </x:c>
      <x:c r="L93" s="26" t="str">
        <x:v>DA-Agricultural Training Institute</x:v>
      </x:c>
    </x:row>
    <x:row r="94" ht="42" customHeight="1">
      <x:c r="D94" s="26" t="str">
        <x:v>D2-040</x:v>
      </x:c>
      <x:c r="E94" s="26" t="str">
        <x:v>e-Extension Program for Agriculture and Fisheries</x:v>
      </x:c>
      <x:c r="F94" s="26" t="str">
        <x:v>Secondary</x:v>
      </x:c>
      <x:c r="G94" s="26" t="str">
        <x:v>Fisheries &amp; aquaculture</x:v>
      </x:c>
      <x:c r="H94" s="26" t="str">
        <x:v>Cross-sector; Fisheries &amp; aquaculture</x:v>
      </x:c>
      <x:c r="I94" s="26" t="str">
        <x:v>Not dedicated</x:v>
      </x:c>
      <x:c r="J94" s="26" t="str">
        <x:v>Active / operational</x:v>
      </x:c>
      <x:c r="K94" s="26" t="str">
        <x:v>High</x:v>
      </x:c>
      <x:c r="L94" s="26" t="str">
        <x:v>DA-Agricultural Training Institute</x:v>
      </x:c>
    </x:row>
    <x:row r="95" ht="42" customHeight="1">
      <x:c r="D95" s="26" t="str">
        <x:v>D2-041</x:v>
      </x:c>
      <x:c r="E95" s="26" t="str">
        <x:v>Farmers' Contact Center / e-Farming</x:v>
      </x:c>
      <x:c r="F95" s="26" t="str">
        <x:v>Primary</x:v>
      </x:c>
      <x:c r="G95" s="26" t="str">
        <x:v>Advisory &amp; e-extension</x:v>
      </x:c>
      <x:c r="H95" s="26" t="str">
        <x:v>Cross-sector</x:v>
      </x:c>
      <x:c r="I95" s="26" t="str">
        <x:v>Not dedicated</x:v>
      </x:c>
      <x:c r="J95" s="26" t="str">
        <x:v>Active / operational</x:v>
      </x:c>
      <x:c r="K95" s="26" t="str">
        <x:v>High</x:v>
      </x:c>
      <x:c r="L95" s="26" t="str">
        <x:v>DA-Agricultural Training Institute</x:v>
      </x:c>
    </x:row>
    <x:row r="96" ht="42" customHeight="1">
      <x:c r="D96" s="26" t="str">
        <x:v>D2-041</x:v>
      </x:c>
      <x:c r="E96" s="26" t="str">
        <x:v>Farmers' Contact Center / e-Farming</x:v>
      </x:c>
      <x:c r="F96" s="26" t="str">
        <x:v>Secondary</x:v>
      </x:c>
      <x:c r="G96" s="26" t="str">
        <x:v>Fisheries &amp; aquaculture</x:v>
      </x:c>
      <x:c r="H96" s="26" t="str">
        <x:v>Cross-sector</x:v>
      </x:c>
      <x:c r="I96" s="26" t="str">
        <x:v>Not dedicated</x:v>
      </x:c>
      <x:c r="J96" s="26" t="str">
        <x:v>Active / operational</x:v>
      </x:c>
      <x:c r="K96" s="26" t="str">
        <x:v>High</x:v>
      </x:c>
      <x:c r="L96" s="26" t="str">
        <x:v>DA-Agricultural Training Institute</x:v>
      </x:c>
    </x:row>
    <x:row r="97" ht="42" customHeight="1">
      <x:c r="D97" s="26" t="str">
        <x:v>D2-042</x:v>
      </x:c>
      <x:c r="E97" s="26" t="str">
        <x:v>Digital Farmers Program</x:v>
      </x:c>
      <x:c r="F97" s="26" t="str">
        <x:v>Secondary</x:v>
      </x:c>
      <x:c r="G97" s="26" t="str">
        <x:v>Advisory &amp; e-extension</x:v>
      </x:c>
      <x:c r="H97" s="26" t="str">
        <x:v>Cross-sector</x:v>
      </x:c>
      <x:c r="I97" s="26" t="str">
        <x:v>Not dedicated</x:v>
      </x:c>
      <x:c r="J97" s="26" t="str">
        <x:v>Active / operational</x:v>
      </x:c>
      <x:c r="K97" s="26" t="str">
        <x:v>High</x:v>
      </x:c>
      <x:c r="L97" s="26" t="str">
        <x:v>DA-Agricultural Training Institute and Smart Communications</x:v>
      </x:c>
    </x:row>
    <x:row r="98" ht="42" customHeight="1">
      <x:c r="D98" s="26" t="str">
        <x:v>D2-042</x:v>
      </x:c>
      <x:c r="E98" s="26" t="str">
        <x:v>Digital Farmers Program</x:v>
      </x:c>
      <x:c r="F98" s="26" t="str">
        <x:v>Secondary</x:v>
      </x:c>
      <x:c r="G98" s="26" t="str">
        <x:v>Markets, e-commerce &amp; logistics</x:v>
      </x:c>
      <x:c r="H98" s="26" t="str">
        <x:v>Cross-sector</x:v>
      </x:c>
      <x:c r="I98" s="26" t="str">
        <x:v>Not dedicated</x:v>
      </x:c>
      <x:c r="J98" s="26" t="str">
        <x:v>Active / operational</x:v>
      </x:c>
      <x:c r="K98" s="26" t="str">
        <x:v>High</x:v>
      </x:c>
      <x:c r="L98" s="26" t="str">
        <x:v>DA-Agricultural Training Institute and Smart Communications</x:v>
      </x:c>
    </x:row>
    <x:row r="99" ht="42" customHeight="1">
      <x:c r="D99" s="26" t="str">
        <x:v>D2-042</x:v>
      </x:c>
      <x:c r="E99" s="26" t="str">
        <x:v>Digital Farmers Program</x:v>
      </x:c>
      <x:c r="F99" s="26" t="str">
        <x:v>Secondary</x:v>
      </x:c>
      <x:c r="G99" s="26" t="str">
        <x:v>Finance, insurance &amp; payments</x:v>
      </x:c>
      <x:c r="H99" s="26" t="str">
        <x:v>Cross-sector</x:v>
      </x:c>
      <x:c r="I99" s="26" t="str">
        <x:v>Not dedicated</x:v>
      </x:c>
      <x:c r="J99" s="26" t="str">
        <x:v>Active / operational</x:v>
      </x:c>
      <x:c r="K99" s="26" t="str">
        <x:v>High</x:v>
      </x:c>
      <x:c r="L99" s="26" t="str">
        <x:v>DA-Agricultural Training Institute and Smart Communications</x:v>
      </x:c>
    </x:row>
    <x:row r="100" ht="42" customHeight="1">
      <x:c r="D100" s="26" t="str">
        <x:v>D2-042</x:v>
      </x:c>
      <x:c r="E100" s="26" t="str">
        <x:v>Digital Farmers Program</x:v>
      </x:c>
      <x:c r="F100" s="26" t="str">
        <x:v>Primary</x:v>
      </x:c>
      <x:c r="G100" s="26" t="str">
        <x:v>Training, capacity &amp; innovation hubs</x:v>
      </x:c>
      <x:c r="H100" s="26" t="str">
        <x:v>Cross-sector</x:v>
      </x:c>
      <x:c r="I100" s="26" t="str">
        <x:v>Not dedicated</x:v>
      </x:c>
      <x:c r="J100" s="26" t="str">
        <x:v>Active / operational</x:v>
      </x:c>
      <x:c r="K100" s="26" t="str">
        <x:v>High</x:v>
      </x:c>
      <x:c r="L100" s="26" t="str">
        <x:v>DA-Agricultural Training Institute and Smart Communications</x:v>
      </x:c>
    </x:row>
    <x:row r="101" ht="42" customHeight="1">
      <x:c r="D101" s="26" t="str">
        <x:v>D2-043</x:v>
      </x:c>
      <x:c r="E101" s="26" t="str">
        <x:v>FarmSmart</x:v>
      </x:c>
      <x:c r="F101" s="26" t="str">
        <x:v>Secondary</x:v>
      </x:c>
      <x:c r="G101" s="26" t="str">
        <x:v>Advisory &amp; e-extension</x:v>
      </x:c>
      <x:c r="H101" s="26" t="str">
        <x:v>Cross-sector</x:v>
      </x:c>
      <x:c r="I101" s="26" t="str">
        <x:v>Not dedicated</x:v>
      </x:c>
      <x:c r="J101" s="26" t="str">
        <x:v>Status unverified</x:v>
      </x:c>
      <x:c r="K101" s="26" t="str">
        <x:v>Low</x:v>
      </x:c>
      <x:c r="L101" s="26" t="str">
        <x:v>Private / research partners reported in PIDS</x:v>
      </x:c>
    </x:row>
    <x:row r="102" ht="42" customHeight="1">
      <x:c r="D102" s="26" t="str">
        <x:v>D2-043</x:v>
      </x:c>
      <x:c r="E102" s="26" t="str">
        <x:v>FarmSmart</x:v>
      </x:c>
      <x:c r="F102" s="26" t="str">
        <x:v>Primary</x:v>
      </x:c>
      <x:c r="G102" s="26" t="str">
        <x:v>Farm management &amp; decision support</x:v>
      </x:c>
      <x:c r="H102" s="26" t="str">
        <x:v>Cross-sector</x:v>
      </x:c>
      <x:c r="I102" s="26" t="str">
        <x:v>Not dedicated</x:v>
      </x:c>
      <x:c r="J102" s="26" t="str">
        <x:v>Status unverified</x:v>
      </x:c>
      <x:c r="K102" s="26" t="str">
        <x:v>Low</x:v>
      </x:c>
      <x:c r="L102" s="26" t="str">
        <x:v>Private / research partners reported in PIDS</x:v>
      </x:c>
    </x:row>
    <x:row r="103" ht="42" customHeight="1">
      <x:c r="D103" s="26" t="str">
        <x:v>D2-044</x:v>
      </x:c>
      <x:c r="E103" s="26" t="str">
        <x:v>Fresh Depot / CropIn-enabled Farmer Support</x:v>
      </x:c>
      <x:c r="F103" s="26" t="str">
        <x:v>Secondary</x:v>
      </x:c>
      <x:c r="G103" s="26" t="str">
        <x:v>Advisory &amp; e-extension</x:v>
      </x:c>
      <x:c r="H103" s="26" t="str">
        <x:v>Agriculture — general</x:v>
      </x:c>
      <x:c r="I103" s="26" t="str">
        <x:v>Not dedicated</x:v>
      </x:c>
      <x:c r="J103" s="26" t="str">
        <x:v>Status unverified</x:v>
      </x:c>
      <x:c r="K103" s="26" t="str">
        <x:v>Medium</x:v>
      </x:c>
      <x:c r="L103" s="26" t="str">
        <x:v>Aboitiz Foundation / Pilmico and CropIn partners</x:v>
      </x:c>
    </x:row>
    <x:row r="104" ht="42" customHeight="1">
      <x:c r="D104" s="26" t="str">
        <x:v>D2-044</x:v>
      </x:c>
      <x:c r="E104" s="26" t="str">
        <x:v>Fresh Depot / CropIn-enabled Farmer Support</x:v>
      </x:c>
      <x:c r="F104" s="26" t="str">
        <x:v>Primary</x:v>
      </x:c>
      <x:c r="G104" s="26" t="str">
        <x:v>Farm management &amp; decision support</x:v>
      </x:c>
      <x:c r="H104" s="26" t="str">
        <x:v>Agriculture — general</x:v>
      </x:c>
      <x:c r="I104" s="26" t="str">
        <x:v>Not dedicated</x:v>
      </x:c>
      <x:c r="J104" s="26" t="str">
        <x:v>Status unverified</x:v>
      </x:c>
      <x:c r="K104" s="26" t="str">
        <x:v>Medium</x:v>
      </x:c>
      <x:c r="L104" s="26" t="str">
        <x:v>Aboitiz Foundation / Pilmico and CropIn partners</x:v>
      </x:c>
    </x:row>
    <x:row r="105" ht="42" customHeight="1">
      <x:c r="D105" s="26" t="str">
        <x:v>D2-044</x:v>
      </x:c>
      <x:c r="E105" s="26" t="str">
        <x:v>Fresh Depot / CropIn-enabled Farmer Support</x:v>
      </x:c>
      <x:c r="F105" s="26" t="str">
        <x:v>Secondary</x:v>
      </x:c>
      <x:c r="G105" s="26" t="str">
        <x:v>Markets, e-commerce &amp; logistics</x:v>
      </x:c>
      <x:c r="H105" s="26" t="str">
        <x:v>Agriculture — general</x:v>
      </x:c>
      <x:c r="I105" s="26" t="str">
        <x:v>Not dedicated</x:v>
      </x:c>
      <x:c r="J105" s="26" t="str">
        <x:v>Status unverified</x:v>
      </x:c>
      <x:c r="K105" s="26" t="str">
        <x:v>Medium</x:v>
      </x:c>
      <x:c r="L105" s="26" t="str">
        <x:v>Aboitiz Foundation / Pilmico and CropIn partners</x:v>
      </x:c>
    </x:row>
    <x:row r="106" ht="42" customHeight="1">
      <x:c r="D106" s="26" t="str">
        <x:v>D2-045</x:v>
      </x:c>
      <x:c r="E106" s="26" t="str">
        <x:v>Gul.AI Plant Phenotyping Platform</x:v>
      </x:c>
      <x:c r="F106" s="26" t="str">
        <x:v>Primary</x:v>
      </x:c>
      <x:c r="G106" s="26" t="str">
        <x:v>Precision agriculture, EO, drones &amp; IoT</x:v>
      </x:c>
      <x:c r="H106" s="26" t="str">
        <x:v>Agriculture — general</x:v>
      </x:c>
      <x:c r="I106" s="26" t="str">
        <x:v>Not dedicated</x:v>
      </x:c>
      <x:c r="J106" s="26" t="str">
        <x:v>Pilot / prototype</x:v>
      </x:c>
      <x:c r="K106" s="26" t="str">
        <x:v>Medium</x:v>
      </x:c>
      <x:c r="L106" s="26" t="str">
        <x:v>DOST-ASTI</x:v>
      </x:c>
    </x:row>
    <x:row r="107" ht="42" customHeight="1">
      <x:c r="D107" s="26" t="str">
        <x:v>D2-046</x:v>
      </x:c>
      <x:c r="E107" s="26" t="str">
        <x:v>arQ / PhilSensors Remote Data Acquisition Platform</x:v>
      </x:c>
      <x:c r="F107" s="26" t="str">
        <x:v>Primary</x:v>
      </x:c>
      <x:c r="G107" s="26" t="str">
        <x:v>Precision agriculture, EO, drones &amp; IoT</x:v>
      </x:c>
      <x:c r="H107" s="26" t="str">
        <x:v>Agriculture — general</x:v>
      </x:c>
      <x:c r="I107" s="26" t="str">
        <x:v>Not dedicated</x:v>
      </x:c>
      <x:c r="J107" s="26" t="str">
        <x:v>Active / operational R&amp;D platform</x:v>
      </x:c>
      <x:c r="K107" s="26" t="str">
        <x:v>High</x:v>
      </x:c>
      <x:c r="L107" s="26" t="str">
        <x:v>DOST-ASTI</x:v>
      </x:c>
    </x:row>
    <x:row r="108" ht="42" customHeight="1">
      <x:c r="D108" s="26" t="str">
        <x:v>D2-046</x:v>
      </x:c>
      <x:c r="E108" s="26" t="str">
        <x:v>arQ / PhilSensors Remote Data Acquisition Platform</x:v>
      </x:c>
      <x:c r="F108" s="26" t="str">
        <x:v>Secondary</x:v>
      </x:c>
      <x:c r="G108" s="26" t="str">
        <x:v>Data infrastructure, interoperability &amp; dashboards</x:v>
      </x:c>
      <x:c r="H108" s="26" t="str">
        <x:v>Agriculture — general</x:v>
      </x:c>
      <x:c r="I108" s="26" t="str">
        <x:v>Not dedicated</x:v>
      </x:c>
      <x:c r="J108" s="26" t="str">
        <x:v>Active / operational R&amp;D platform</x:v>
      </x:c>
      <x:c r="K108" s="26" t="str">
        <x:v>High</x:v>
      </x:c>
      <x:c r="L108" s="26" t="str">
        <x:v>DOST-ASTI</x:v>
      </x:c>
    </x:row>
    <x:row r="109" ht="42" customHeight="1">
      <x:c r="D109" s="26" t="str">
        <x:v>D2-047</x:v>
      </x:c>
      <x:c r="E109" s="26" t="str">
        <x:v>Smart Aquafarm Feeder and Monitoring System in Highly Turbid Conditions</x:v>
      </x:c>
      <x:c r="F109" s="26" t="str">
        <x:v>Secondary</x:v>
      </x:c>
      <x:c r="G109" s="26" t="str">
        <x:v>Precision agriculture, EO, drones &amp; IoT</x:v>
      </x:c>
      <x:c r="H109" s="26" t="str">
        <x:v>Fisheries &amp; aquaculture</x:v>
      </x:c>
      <x:c r="I109" s="26" t="str">
        <x:v>Not dedicated</x:v>
      </x:c>
      <x:c r="J109" s="26" t="str">
        <x:v>Project ongoing</x:v>
      </x:c>
      <x:c r="K109" s="26" t="str">
        <x:v>Medium</x:v>
      </x:c>
      <x:c r="L109" s="26" t="str">
        <x:v>DOST-ASTI and partners</x:v>
      </x:c>
    </x:row>
    <x:row r="110" ht="42" customHeight="1">
      <x:c r="D110" s="26" t="str">
        <x:v>D2-047</x:v>
      </x:c>
      <x:c r="E110" s="26" t="str">
        <x:v>Smart Aquafarm Feeder and Monitoring System in Highly Turbid Conditions</x:v>
      </x:c>
      <x:c r="F110" s="26" t="str">
        <x:v>Primary</x:v>
      </x:c>
      <x:c r="G110" s="26" t="str">
        <x:v>Fisheries &amp; aquaculture</x:v>
      </x:c>
      <x:c r="H110" s="26" t="str">
        <x:v>Fisheries &amp; aquaculture</x:v>
      </x:c>
      <x:c r="I110" s="26" t="str">
        <x:v>Not dedicated</x:v>
      </x:c>
      <x:c r="J110" s="26" t="str">
        <x:v>Project ongoing</x:v>
      </x:c>
      <x:c r="K110" s="26" t="str">
        <x:v>Medium</x:v>
      </x:c>
      <x:c r="L110" s="26" t="str">
        <x:v>DOST-ASTI and partners</x:v>
      </x:c>
    </x:row>
    <x:row r="111" ht="42" customHeight="1">
      <x:c r="D111" s="26" t="str">
        <x:v>D2-048</x:v>
      </x:c>
      <x:c r="E111" s="26" t="str">
        <x:v>Aquaculture Wireless Ammonia Sensor Network for IoT Application</x:v>
      </x:c>
      <x:c r="F111" s="26" t="str">
        <x:v>Secondary</x:v>
      </x:c>
      <x:c r="G111" s="26" t="str">
        <x:v>Precision agriculture, EO, drones &amp; IoT</x:v>
      </x:c>
      <x:c r="H111" s="26" t="str">
        <x:v>Fisheries &amp; aquaculture</x:v>
      </x:c>
      <x:c r="I111" s="26" t="str">
        <x:v>Not dedicated</x:v>
      </x:c>
      <x:c r="J111" s="26" t="str">
        <x:v>Project ongoing</x:v>
      </x:c>
      <x:c r="K111" s="26" t="str">
        <x:v>High</x:v>
      </x:c>
      <x:c r="L111" s="26" t="str">
        <x:v>DOST-ASTI and partners</x:v>
      </x:c>
    </x:row>
    <x:row r="112" ht="42" customHeight="1">
      <x:c r="D112" s="26" t="str">
        <x:v>D2-048</x:v>
      </x:c>
      <x:c r="E112" s="26" t="str">
        <x:v>Aquaculture Wireless Ammonia Sensor Network for IoT Application</x:v>
      </x:c>
      <x:c r="F112" s="26" t="str">
        <x:v>Primary</x:v>
      </x:c>
      <x:c r="G112" s="26" t="str">
        <x:v>Fisheries &amp; aquaculture</x:v>
      </x:c>
      <x:c r="H112" s="26" t="str">
        <x:v>Fisheries &amp; aquaculture</x:v>
      </x:c>
      <x:c r="I112" s="26" t="str">
        <x:v>Not dedicated</x:v>
      </x:c>
      <x:c r="J112" s="26" t="str">
        <x:v>Project ongoing</x:v>
      </x:c>
      <x:c r="K112" s="26" t="str">
        <x:v>High</x:v>
      </x:c>
      <x:c r="L112" s="26" t="str">
        <x:v>DOST-ASTI and partners</x:v>
      </x:c>
    </x:row>
    <x:row r="113" ht="42" customHeight="1">
      <x:c r="D113" s="26" t="str">
        <x:v>D2-049</x:v>
      </x:c>
      <x:c r="E113" s="26" t="str">
        <x:v>Smart Water Irrigation for Rice Farming through IoT</x:v>
      </x:c>
      <x:c r="F113" s="26" t="str">
        <x:v>Primary</x:v>
      </x:c>
      <x:c r="G113" s="26" t="str">
        <x:v>Precision agriculture, EO, drones &amp; IoT</x:v>
      </x:c>
      <x:c r="H113" s="26" t="str">
        <x:v>Rice / palay</x:v>
      </x:c>
      <x:c r="I113" s="26" t="str">
        <x:v>Not dedicated</x:v>
      </x:c>
      <x:c r="J113" s="26" t="str">
        <x:v>Pilot / prototype</x:v>
      </x:c>
      <x:c r="K113" s="26" t="str">
        <x:v>Medium</x:v>
      </x:c>
      <x:c r="L113" s="26" t="str">
        <x:v>Philippine academic researchers</x:v>
      </x:c>
    </x:row>
    <x:row r="114" ht="42" customHeight="1">
      <x:c r="D114" s="26" t="str">
        <x:v>D2-050</x:v>
      </x:c>
      <x:c r="E114" s="26" t="str">
        <x:v>FASTRAC Banana Drone Mapping and Field Analytics</x:v>
      </x:c>
      <x:c r="F114" s="26" t="str">
        <x:v>Primary</x:v>
      </x:c>
      <x:c r="G114" s="26" t="str">
        <x:v>Precision agriculture, EO, drones &amp; IoT</x:v>
      </x:c>
      <x:c r="H114" s="26" t="str">
        <x:v>Banana</x:v>
      </x:c>
      <x:c r="I114" s="26" t="str">
        <x:v>Not dedicated</x:v>
      </x:c>
      <x:c r="J114" s="26" t="str">
        <x:v>Project ongoing</x:v>
      </x:c>
      <x:c r="K114" s="26" t="str">
        <x:v>High</x:v>
      </x:c>
      <x:c r="L114" s="26" t="str">
        <x:v>DOST-ASTI / DOST-PCIEERD and industry partners</x:v>
      </x:c>
    </x:row>
    <x:row r="115" ht="42" customHeight="1">
      <x:c r="D115" s="26" t="str">
        <x:v>D2-050</x:v>
      </x:c>
      <x:c r="E115" s="26" t="str">
        <x:v>FASTRAC Banana Drone Mapping and Field Analytics</x:v>
      </x:c>
      <x:c r="F115" s="26" t="str">
        <x:v>Secondary</x:v>
      </x:c>
      <x:c r="G115" s="26" t="str">
        <x:v>Data infrastructure, interoperability &amp; dashboards</x:v>
      </x:c>
      <x:c r="H115" s="26" t="str">
        <x:v>Banana</x:v>
      </x:c>
      <x:c r="I115" s="26" t="str">
        <x:v>Not dedicated</x:v>
      </x:c>
      <x:c r="J115" s="26" t="str">
        <x:v>Project ongoing</x:v>
      </x:c>
      <x:c r="K115" s="26" t="str">
        <x:v>High</x:v>
      </x:c>
      <x:c r="L115" s="26" t="str">
        <x:v>DOST-ASTI / DOST-PCIEERD and industry partners</x:v>
      </x:c>
    </x:row>
    <x:row r="116" ht="42" customHeight="1">
      <x:c r="D116" s="26" t="str">
        <x:v>D2-051</x:v>
      </x:c>
      <x:c r="E116" s="26" t="str">
        <x:v>AgriDOM Digital Agriculture and Drone Services Platform</x:v>
      </x:c>
      <x:c r="F116" s="26" t="str">
        <x:v>Secondary</x:v>
      </x:c>
      <x:c r="G116" s="26" t="str">
        <x:v>Precision agriculture, EO, drones &amp; IoT</x:v>
      </x:c>
      <x:c r="H116" s="26" t="str">
        <x:v>Cross-sector; Seeds / germplasm / breeds</x:v>
      </x:c>
      <x:c r="I116" s="26" t="str">
        <x:v>Not dedicated</x:v>
      </x:c>
      <x:c r="J116" s="26" t="str">
        <x:v>Active / operational</x:v>
      </x:c>
      <x:c r="K116" s="26" t="str">
        <x:v>High</x:v>
      </x:c>
      <x:c r="L116" s="26" t="str">
        <x:v>AgriDOM Solutions Corporation</x:v>
      </x:c>
    </x:row>
    <x:row r="117" ht="42" customHeight="1">
      <x:c r="D117" s="26" t="str">
        <x:v>D2-051</x:v>
      </x:c>
      <x:c r="E117" s="26" t="str">
        <x:v>AgriDOM Digital Agriculture and Drone Services Platform</x:v>
      </x:c>
      <x:c r="F117" s="26" t="str">
        <x:v>Secondary</x:v>
      </x:c>
      <x:c r="G117" s="26" t="str">
        <x:v>Inputs, seed &amp; nutrient tools</x:v>
      </x:c>
      <x:c r="H117" s="26" t="str">
        <x:v>Cross-sector; Seeds / germplasm / breeds</x:v>
      </x:c>
      <x:c r="I117" s="26" t="str">
        <x:v>Not dedicated</x:v>
      </x:c>
      <x:c r="J117" s="26" t="str">
        <x:v>Active / operational</x:v>
      </x:c>
      <x:c r="K117" s="26" t="str">
        <x:v>High</x:v>
      </x:c>
      <x:c r="L117" s="26" t="str">
        <x:v>AgriDOM Solutions Corporation</x:v>
      </x:c>
    </x:row>
    <x:row r="118" ht="42" customHeight="1">
      <x:c r="D118" s="26" t="str">
        <x:v>D2-051</x:v>
      </x:c>
      <x:c r="E118" s="26" t="str">
        <x:v>AgriDOM Digital Agriculture and Drone Services Platform</x:v>
      </x:c>
      <x:c r="F118" s="26" t="str">
        <x:v>Primary</x:v>
      </x:c>
      <x:c r="G118" s="26" t="str">
        <x:v>Mechanization &amp; equipment-as-a-service</x:v>
      </x:c>
      <x:c r="H118" s="26" t="str">
        <x:v>Cross-sector; Seeds / germplasm / breeds</x:v>
      </x:c>
      <x:c r="I118" s="26" t="str">
        <x:v>Not dedicated</x:v>
      </x:c>
      <x:c r="J118" s="26" t="str">
        <x:v>Active / operational</x:v>
      </x:c>
      <x:c r="K118" s="26" t="str">
        <x:v>High</x:v>
      </x:c>
      <x:c r="L118" s="26" t="str">
        <x:v>AgriDOM Solutions Corporation</x:v>
      </x:c>
    </x:row>
    <x:row r="119" ht="42" customHeight="1">
      <x:c r="D119" s="26" t="str">
        <x:v>D2-051</x:v>
      </x:c>
      <x:c r="E119" s="26" t="str">
        <x:v>AgriDOM Digital Agriculture and Drone Services Platform</x:v>
      </x:c>
      <x:c r="F119" s="26" t="str">
        <x:v>Secondary</x:v>
      </x:c>
      <x:c r="G119" s="26" t="str">
        <x:v>Markets, e-commerce &amp; logistics</x:v>
      </x:c>
      <x:c r="H119" s="26" t="str">
        <x:v>Cross-sector; Seeds / germplasm / breeds</x:v>
      </x:c>
      <x:c r="I119" s="26" t="str">
        <x:v>Not dedicated</x:v>
      </x:c>
      <x:c r="J119" s="26" t="str">
        <x:v>Active / operational</x:v>
      </x:c>
      <x:c r="K119" s="26" t="str">
        <x:v>High</x:v>
      </x:c>
      <x:c r="L119" s="26" t="str">
        <x:v>AgriDOM Solutions Corporation</x:v>
      </x:c>
    </x:row>
    <x:row r="120" ht="42" customHeight="1">
      <x:c r="D120" s="26" t="str">
        <x:v>D2-052</x:v>
      </x:c>
      <x:c r="E120" s="26" t="str">
        <x:v>Del Monte Philippines Drone Mapping Platforms</x:v>
      </x:c>
      <x:c r="F120" s="26" t="str">
        <x:v>Primary</x:v>
      </x:c>
      <x:c r="G120" s="26" t="str">
        <x:v>Precision agriculture, EO, drones &amp; IoT</x:v>
      </x:c>
      <x:c r="H120" s="26" t="str">
        <x:v>Agriculture — general</x:v>
      </x:c>
      <x:c r="I120" s="26" t="str">
        <x:v>Not dedicated</x:v>
      </x:c>
      <x:c r="J120" s="26" t="str">
        <x:v>Active / operational</x:v>
      </x:c>
      <x:c r="K120" s="26" t="str">
        <x:v>Low</x:v>
      </x:c>
      <x:c r="L120" s="26" t="str">
        <x:v>Del Monte Philippines and technology partners</x:v>
      </x:c>
    </x:row>
    <x:row r="121" ht="42" customHeight="1">
      <x:c r="D121" s="26" t="str">
        <x:v>D2-052</x:v>
      </x:c>
      <x:c r="E121" s="26" t="str">
        <x:v>Del Monte Philippines Drone Mapping Platforms</x:v>
      </x:c>
      <x:c r="F121" s="26" t="str">
        <x:v>Secondary</x:v>
      </x:c>
      <x:c r="G121" s="26" t="str">
        <x:v>Data infrastructure, interoperability &amp; dashboards</x:v>
      </x:c>
      <x:c r="H121" s="26" t="str">
        <x:v>Agriculture — general</x:v>
      </x:c>
      <x:c r="I121" s="26" t="str">
        <x:v>Not dedicated</x:v>
      </x:c>
      <x:c r="J121" s="26" t="str">
        <x:v>Active / operational</x:v>
      </x:c>
      <x:c r="K121" s="26" t="str">
        <x:v>Low</x:v>
      </x:c>
      <x:c r="L121" s="26" t="str">
        <x:v>Del Monte Philippines and technology partners</x:v>
      </x:c>
    </x:row>
    <x:row r="122" ht="42" customHeight="1">
      <x:c r="D122" s="26" t="str">
        <x:v>D2-053</x:v>
      </x:c>
      <x:c r="E122" s="26" t="str">
        <x:v>Solar-Powered Indoor Growing System for Localized Agriculture</x:v>
      </x:c>
      <x:c r="F122" s="26" t="str">
        <x:v>Primary</x:v>
      </x:c>
      <x:c r="G122" s="26" t="str">
        <x:v>Precision agriculture, EO, drones &amp; IoT</x:v>
      </x:c>
      <x:c r="H122" s="26" t="str">
        <x:v>Agriculture — general</x:v>
      </x:c>
      <x:c r="I122" s="26" t="str">
        <x:v>Not dedicated</x:v>
      </x:c>
      <x:c r="J122" s="26" t="str">
        <x:v>Pilot / prototype</x:v>
      </x:c>
      <x:c r="K122" s="26" t="str">
        <x:v>Low</x:v>
      </x:c>
      <x:c r="L122" s="26" t="str">
        <x:v>UP Los Baños and partners</x:v>
      </x:c>
    </x:row>
    <x:row r="123" ht="42" customHeight="1">
      <x:c r="D123" s="26" t="str">
        <x:v>D2-054</x:v>
      </x:c>
      <x:c r="E123" s="26" t="str">
        <x:v>Municipal Fisherfolk Registration System</x:v>
      </x:c>
      <x:c r="F123" s="26" t="str">
        <x:v>Primary</x:v>
      </x:c>
      <x:c r="G123" s="26" t="str">
        <x:v>Registry &amp; digital identity</x:v>
      </x:c>
      <x:c r="H123" s="26" t="str">
        <x:v>Fisheries &amp; aquaculture</x:v>
      </x:c>
      <x:c r="I123" s="26" t="str">
        <x:v>Not dedicated</x:v>
      </x:c>
      <x:c r="J123" s="26" t="str">
        <x:v>Active / operational</x:v>
      </x:c>
      <x:c r="K123" s="26" t="str">
        <x:v>High</x:v>
      </x:c>
      <x:c r="L123" s="26" t="str">
        <x:v>DA-Bureau of Fisheries and Aquatic Resources</x:v>
      </x:c>
    </x:row>
    <x:row r="124" ht="42" customHeight="1">
      <x:c r="D124" s="26" t="str">
        <x:v>D2-054</x:v>
      </x:c>
      <x:c r="E124" s="26" t="str">
        <x:v>Municipal Fisherfolk Registration System</x:v>
      </x:c>
      <x:c r="F124" s="26" t="str">
        <x:v>Secondary</x:v>
      </x:c>
      <x:c r="G124" s="26" t="str">
        <x:v>Fisheries &amp; aquaculture</x:v>
      </x:c>
      <x:c r="H124" s="26" t="str">
        <x:v>Fisheries &amp; aquaculture</x:v>
      </x:c>
      <x:c r="I124" s="26" t="str">
        <x:v>Not dedicated</x:v>
      </x:c>
      <x:c r="J124" s="26" t="str">
        <x:v>Active / operational</x:v>
      </x:c>
      <x:c r="K124" s="26" t="str">
        <x:v>High</x:v>
      </x:c>
      <x:c r="L124" s="26" t="str">
        <x:v>DA-Bureau of Fisheries and Aquatic Resources</x:v>
      </x:c>
    </x:row>
    <x:row r="125" ht="42" customHeight="1">
      <x:c r="D125" s="26" t="str">
        <x:v>D2-054</x:v>
      </x:c>
      <x:c r="E125" s="26" t="str">
        <x:v>Municipal Fisherfolk Registration System</x:v>
      </x:c>
      <x:c r="F125" s="26" t="str">
        <x:v>Secondary</x:v>
      </x:c>
      <x:c r="G125" s="26" t="str">
        <x:v>Data infrastructure, interoperability &amp; dashboards</x:v>
      </x:c>
      <x:c r="H125" s="26" t="str">
        <x:v>Fisheries &amp; aquaculture</x:v>
      </x:c>
      <x:c r="I125" s="26" t="str">
        <x:v>Not dedicated</x:v>
      </x:c>
      <x:c r="J125" s="26" t="str">
        <x:v>Active / operational</x:v>
      </x:c>
      <x:c r="K125" s="26" t="str">
        <x:v>High</x:v>
      </x:c>
      <x:c r="L125" s="26" t="str">
        <x:v>DA-Bureau of Fisheries and Aquatic Resources</x:v>
      </x:c>
    </x:row>
    <x:row r="126" ht="42" customHeight="1">
      <x:c r="D126" s="26" t="str">
        <x:v>D2-055</x:v>
      </x:c>
      <x:c r="E126" s="26" t="str">
        <x:v>National Program for Municipal Fishing Boats and Gears Registration</x:v>
      </x:c>
      <x:c r="F126" s="26" t="str">
        <x:v>Primary</x:v>
      </x:c>
      <x:c r="G126" s="26" t="str">
        <x:v>Registry &amp; digital identity</x:v>
      </x:c>
      <x:c r="H126" s="26" t="str">
        <x:v>Fisheries &amp; aquaculture</x:v>
      </x:c>
      <x:c r="I126" s="26" t="str">
        <x:v>Not dedicated</x:v>
      </x:c>
      <x:c r="J126" s="26" t="str">
        <x:v>Active / operational</x:v>
      </x:c>
      <x:c r="K126" s="26" t="str">
        <x:v>High</x:v>
      </x:c>
      <x:c r="L126" s="26" t="str">
        <x:v>DA-Bureau of Fisheries and Aquatic Resources</x:v>
      </x:c>
    </x:row>
    <x:row r="127" ht="42" customHeight="1">
      <x:c r="D127" s="26" t="str">
        <x:v>D2-055</x:v>
      </x:c>
      <x:c r="E127" s="26" t="str">
        <x:v>National Program for Municipal Fishing Boats and Gears Registration</x:v>
      </x:c>
      <x:c r="F127" s="26" t="str">
        <x:v>Secondary</x:v>
      </x:c>
      <x:c r="G127" s="26" t="str">
        <x:v>Fisheries &amp; aquaculture</x:v>
      </x:c>
      <x:c r="H127" s="26" t="str">
        <x:v>Fisheries &amp; aquaculture</x:v>
      </x:c>
      <x:c r="I127" s="26" t="str">
        <x:v>Not dedicated</x:v>
      </x:c>
      <x:c r="J127" s="26" t="str">
        <x:v>Active / operational</x:v>
      </x:c>
      <x:c r="K127" s="26" t="str">
        <x:v>High</x:v>
      </x:c>
      <x:c r="L127" s="26" t="str">
        <x:v>DA-Bureau of Fisheries and Aquatic Resources</x:v>
      </x:c>
    </x:row>
    <x:row r="128" ht="42" customHeight="1">
      <x:c r="D128" s="26" t="str">
        <x:v>D2-055</x:v>
      </x:c>
      <x:c r="E128" s="26" t="str">
        <x:v>National Program for Municipal Fishing Boats and Gears Registration</x:v>
      </x:c>
      <x:c r="F128" s="26" t="str">
        <x:v>Secondary</x:v>
      </x:c>
      <x:c r="G128" s="26" t="str">
        <x:v>Data infrastructure, interoperability &amp; dashboards</x:v>
      </x:c>
      <x:c r="H128" s="26" t="str">
        <x:v>Fisheries &amp; aquaculture</x:v>
      </x:c>
      <x:c r="I128" s="26" t="str">
        <x:v>Not dedicated</x:v>
      </x:c>
      <x:c r="J128" s="26" t="str">
        <x:v>Active / operational</x:v>
      </x:c>
      <x:c r="K128" s="26" t="str">
        <x:v>High</x:v>
      </x:c>
      <x:c r="L128" s="26" t="str">
        <x:v>DA-Bureau of Fisheries and Aquatic Resources</x:v>
      </x:c>
    </x:row>
    <x:row r="129" ht="42" customHeight="1">
      <x:c r="D129" s="26" t="str">
        <x:v>D2-056</x:v>
      </x:c>
      <x:c r="E129" s="26" t="str">
        <x:v>Fishing Vessels e-Licensing System</x:v>
      </x:c>
      <x:c r="F129" s="26" t="str">
        <x:v>Primary</x:v>
      </x:c>
      <x:c r="G129" s="26" t="str">
        <x:v>Traceability, food safety &amp; MRV</x:v>
      </x:c>
      <x:c r="H129" s="26" t="str">
        <x:v>Fisheries &amp; aquaculture</x:v>
      </x:c>
      <x:c r="I129" s="26" t="str">
        <x:v>Not dedicated</x:v>
      </x:c>
      <x:c r="J129" s="26" t="str">
        <x:v>Active / operational</x:v>
      </x:c>
      <x:c r="K129" s="26" t="str">
        <x:v>High</x:v>
      </x:c>
      <x:c r="L129" s="26" t="str">
        <x:v>DA-Bureau of Fisheries and Aquatic Resources</x:v>
      </x:c>
    </x:row>
    <x:row r="130" ht="42" customHeight="1">
      <x:c r="D130" s="26" t="str">
        <x:v>D2-056</x:v>
      </x:c>
      <x:c r="E130" s="26" t="str">
        <x:v>Fishing Vessels e-Licensing System</x:v>
      </x:c>
      <x:c r="F130" s="26" t="str">
        <x:v>Secondary</x:v>
      </x:c>
      <x:c r="G130" s="26" t="str">
        <x:v>Fisheries &amp; aquaculture</x:v>
      </x:c>
      <x:c r="H130" s="26" t="str">
        <x:v>Fisheries &amp; aquaculture</x:v>
      </x:c>
      <x:c r="I130" s="26" t="str">
        <x:v>Not dedicated</x:v>
      </x:c>
      <x:c r="J130" s="26" t="str">
        <x:v>Active / operational</x:v>
      </x:c>
      <x:c r="K130" s="26" t="str">
        <x:v>High</x:v>
      </x:c>
      <x:c r="L130" s="26" t="str">
        <x:v>DA-Bureau of Fisheries and Aquatic Resources</x:v>
      </x:c>
    </x:row>
    <x:row r="131" ht="42" customHeight="1">
      <x:c r="D131" s="26" t="str">
        <x:v>D2-056</x:v>
      </x:c>
      <x:c r="E131" s="26" t="str">
        <x:v>Fishing Vessels e-Licensing System</x:v>
      </x:c>
      <x:c r="F131" s="26" t="str">
        <x:v>Secondary</x:v>
      </x:c>
      <x:c r="G131" s="26" t="str">
        <x:v>Data infrastructure, interoperability &amp; dashboards</x:v>
      </x:c>
      <x:c r="H131" s="26" t="str">
        <x:v>Fisheries &amp; aquaculture</x:v>
      </x:c>
      <x:c r="I131" s="26" t="str">
        <x:v>Not dedicated</x:v>
      </x:c>
      <x:c r="J131" s="26" t="str">
        <x:v>Active / operational</x:v>
      </x:c>
      <x:c r="K131" s="26" t="str">
        <x:v>High</x:v>
      </x:c>
      <x:c r="L131" s="26" t="str">
        <x:v>DA-Bureau of Fisheries and Aquatic Resources</x:v>
      </x:c>
    </x:row>
    <x:row r="132" ht="42" customHeight="1">
      <x:c r="D132" s="26" t="str">
        <x:v>D2-057</x:v>
      </x:c>
      <x:c r="E132" s="26" t="str">
        <x:v>Vessel Monitoring Measures / Vessel Monitoring System</x:v>
      </x:c>
      <x:c r="F132" s="26" t="str">
        <x:v>Secondary</x:v>
      </x:c>
      <x:c r="G132" s="26" t="str">
        <x:v>Precision agriculture, EO, drones &amp; IoT</x:v>
      </x:c>
      <x:c r="H132" s="26" t="str">
        <x:v>Fisheries &amp; aquaculture</x:v>
      </x:c>
      <x:c r="I132" s="26" t="str">
        <x:v>Not dedicated</x:v>
      </x:c>
      <x:c r="J132" s="26" t="str">
        <x:v>Active / operational</x:v>
      </x:c>
      <x:c r="K132" s="26" t="str">
        <x:v>High</x:v>
      </x:c>
      <x:c r="L132" s="26" t="str">
        <x:v>DA-Bureau of Fisheries and Aquatic Resources</x:v>
      </x:c>
    </x:row>
    <x:row r="133" ht="42" customHeight="1">
      <x:c r="D133" s="26" t="str">
        <x:v>D2-057</x:v>
      </x:c>
      <x:c r="E133" s="26" t="str">
        <x:v>Vessel Monitoring Measures / Vessel Monitoring System</x:v>
      </x:c>
      <x:c r="F133" s="26" t="str">
        <x:v>Secondary</x:v>
      </x:c>
      <x:c r="G133" s="26" t="str">
        <x:v>Traceability, food safety &amp; MRV</x:v>
      </x:c>
      <x:c r="H133" s="26" t="str">
        <x:v>Fisheries &amp; aquaculture</x:v>
      </x:c>
      <x:c r="I133" s="26" t="str">
        <x:v>Not dedicated</x:v>
      </x:c>
      <x:c r="J133" s="26" t="str">
        <x:v>Active / operational</x:v>
      </x:c>
      <x:c r="K133" s="26" t="str">
        <x:v>High</x:v>
      </x:c>
      <x:c r="L133" s="26" t="str">
        <x:v>DA-Bureau of Fisheries and Aquatic Resources</x:v>
      </x:c>
    </x:row>
    <x:row r="134" ht="42" customHeight="1">
      <x:c r="D134" s="26" t="str">
        <x:v>D2-057</x:v>
      </x:c>
      <x:c r="E134" s="26" t="str">
        <x:v>Vessel Monitoring Measures / Vessel Monitoring System</x:v>
      </x:c>
      <x:c r="F134" s="26" t="str">
        <x:v>Primary</x:v>
      </x:c>
      <x:c r="G134" s="26" t="str">
        <x:v>Fisheries &amp; aquaculture</x:v>
      </x:c>
      <x:c r="H134" s="26" t="str">
        <x:v>Fisheries &amp; aquaculture</x:v>
      </x:c>
      <x:c r="I134" s="26" t="str">
        <x:v>Not dedicated</x:v>
      </x:c>
      <x:c r="J134" s="26" t="str">
        <x:v>Active / operational</x:v>
      </x:c>
      <x:c r="K134" s="26" t="str">
        <x:v>High</x:v>
      </x:c>
      <x:c r="L134" s="26" t="str">
        <x:v>DA-Bureau of Fisheries and Aquatic Resources</x:v>
      </x:c>
    </x:row>
    <x:row r="135" ht="42" customHeight="1">
      <x:c r="D135" s="26" t="str">
        <x:v>D2-058</x:v>
      </x:c>
      <x:c r="E135" s="26" t="str">
        <x:v>Electronic Reporting System for Commercial Fishing Vessels</x:v>
      </x:c>
      <x:c r="F135" s="26" t="str">
        <x:v>Primary</x:v>
      </x:c>
      <x:c r="G135" s="26" t="str">
        <x:v>Traceability, food safety &amp; MRV</x:v>
      </x:c>
      <x:c r="H135" s="26" t="str">
        <x:v>Fisheries &amp; aquaculture</x:v>
      </x:c>
      <x:c r="I135" s="26" t="str">
        <x:v>Not dedicated</x:v>
      </x:c>
      <x:c r="J135" s="26" t="str">
        <x:v>Active / operational</x:v>
      </x:c>
      <x:c r="K135" s="26" t="str">
        <x:v>High</x:v>
      </x:c>
      <x:c r="L135" s="26" t="str">
        <x:v>DA-Bureau of Fisheries and Aquatic Resources</x:v>
      </x:c>
    </x:row>
    <x:row r="136" ht="42" customHeight="1">
      <x:c r="D136" s="26" t="str">
        <x:v>D2-058</x:v>
      </x:c>
      <x:c r="E136" s="26" t="str">
        <x:v>Electronic Reporting System for Commercial Fishing Vessels</x:v>
      </x:c>
      <x:c r="F136" s="26" t="str">
        <x:v>Secondary</x:v>
      </x:c>
      <x:c r="G136" s="26" t="str">
        <x:v>Fisheries &amp; aquaculture</x:v>
      </x:c>
      <x:c r="H136" s="26" t="str">
        <x:v>Fisheries &amp; aquaculture</x:v>
      </x:c>
      <x:c r="I136" s="26" t="str">
        <x:v>Not dedicated</x:v>
      </x:c>
      <x:c r="J136" s="26" t="str">
        <x:v>Active / operational</x:v>
      </x:c>
      <x:c r="K136" s="26" t="str">
        <x:v>High</x:v>
      </x:c>
      <x:c r="L136" s="26" t="str">
        <x:v>DA-Bureau of Fisheries and Aquatic Resources</x:v>
      </x:c>
    </x:row>
    <x:row r="137" ht="42" customHeight="1">
      <x:c r="D137" s="26" t="str">
        <x:v>D2-059</x:v>
      </x:c>
      <x:c r="E137" s="26" t="str">
        <x:v>Electronic Catch Documentation and Traceability System</x:v>
      </x:c>
      <x:c r="F137" s="26" t="str">
        <x:v>Secondary</x:v>
      </x:c>
      <x:c r="G137" s="26" t="str">
        <x:v>Markets, e-commerce &amp; logistics</x:v>
      </x:c>
      <x:c r="H137" s="26" t="str">
        <x:v>Fisheries &amp; aquaculture</x:v>
      </x:c>
      <x:c r="I137" s="26" t="str">
        <x:v>Not dedicated</x:v>
      </x:c>
      <x:c r="J137" s="26" t="str">
        <x:v>Pilot / partial deployment</x:v>
      </x:c>
      <x:c r="K137" s="26" t="str">
        <x:v>High</x:v>
      </x:c>
      <x:c r="L137" s="26" t="str">
        <x:v>DA-BFAR and LGUs</x:v>
      </x:c>
    </x:row>
    <x:row r="138" ht="42" customHeight="1">
      <x:c r="D138" s="26" t="str">
        <x:v>D2-059</x:v>
      </x:c>
      <x:c r="E138" s="26" t="str">
        <x:v>Electronic Catch Documentation and Traceability System</x:v>
      </x:c>
      <x:c r="F138" s="26" t="str">
        <x:v>Primary</x:v>
      </x:c>
      <x:c r="G138" s="26" t="str">
        <x:v>Traceability, food safety &amp; MRV</x:v>
      </x:c>
      <x:c r="H138" s="26" t="str">
        <x:v>Fisheries &amp; aquaculture</x:v>
      </x:c>
      <x:c r="I138" s="26" t="str">
        <x:v>Not dedicated</x:v>
      </x:c>
      <x:c r="J138" s="26" t="str">
        <x:v>Pilot / partial deployment</x:v>
      </x:c>
      <x:c r="K138" s="26" t="str">
        <x:v>High</x:v>
      </x:c>
      <x:c r="L138" s="26" t="str">
        <x:v>DA-BFAR and LGUs</x:v>
      </x:c>
    </x:row>
    <x:row r="139" ht="42" customHeight="1">
      <x:c r="D139" s="26" t="str">
        <x:v>D2-059</x:v>
      </x:c>
      <x:c r="E139" s="26" t="str">
        <x:v>Electronic Catch Documentation and Traceability System</x:v>
      </x:c>
      <x:c r="F139" s="26" t="str">
        <x:v>Secondary</x:v>
      </x:c>
      <x:c r="G139" s="26" t="str">
        <x:v>Fisheries &amp; aquaculture</x:v>
      </x:c>
      <x:c r="H139" s="26" t="str">
        <x:v>Fisheries &amp; aquaculture</x:v>
      </x:c>
      <x:c r="I139" s="26" t="str">
        <x:v>Not dedicated</x:v>
      </x:c>
      <x:c r="J139" s="26" t="str">
        <x:v>Pilot / partial deployment</x:v>
      </x:c>
      <x:c r="K139" s="26" t="str">
        <x:v>High</x:v>
      </x:c>
      <x:c r="L139" s="26" t="str">
        <x:v>DA-BFAR and LGUs</x:v>
      </x:c>
    </x:row>
    <x:row r="140" ht="42" customHeight="1">
      <x:c r="D140" s="26" t="str">
        <x:v>D2-059</x:v>
      </x:c>
      <x:c r="E140" s="26" t="str">
        <x:v>Electronic Catch Documentation and Traceability System</x:v>
      </x:c>
      <x:c r="F140" s="26" t="str">
        <x:v>Secondary</x:v>
      </x:c>
      <x:c r="G140" s="26" t="str">
        <x:v>Data infrastructure, interoperability &amp; dashboards</x:v>
      </x:c>
      <x:c r="H140" s="26" t="str">
        <x:v>Fisheries &amp; aquaculture</x:v>
      </x:c>
      <x:c r="I140" s="26" t="str">
        <x:v>Not dedicated</x:v>
      </x:c>
      <x:c r="J140" s="26" t="str">
        <x:v>Pilot / partial deployment</x:v>
      </x:c>
      <x:c r="K140" s="26" t="str">
        <x:v>High</x:v>
      </x:c>
      <x:c r="L140" s="26" t="str">
        <x:v>DA-BFAR and LGUs</x:v>
      </x:c>
    </x:row>
    <x:row r="141" ht="42" customHeight="1">
      <x:c r="D141" s="26" t="str">
        <x:v>D2-060</x:v>
      </x:c>
      <x:c r="E141" s="26" t="str">
        <x:v>National Stock Assessment Program Information System</x:v>
      </x:c>
      <x:c r="F141" s="26" t="str">
        <x:v>Primary</x:v>
      </x:c>
      <x:c r="G141" s="26" t="str">
        <x:v>Fisheries &amp; aquaculture</x:v>
      </x:c>
      <x:c r="H141" s="26" t="str">
        <x:v>Fisheries &amp; aquaculture</x:v>
      </x:c>
      <x:c r="I141" s="26" t="str">
        <x:v>Not dedicated</x:v>
      </x:c>
      <x:c r="J141" s="26" t="str">
        <x:v>Active / operational</x:v>
      </x:c>
      <x:c r="K141" s="26" t="str">
        <x:v>High</x:v>
      </x:c>
      <x:c r="L141" s="26" t="str">
        <x:v>DA-Bureau of Fisheries and Aquatic Resources</x:v>
      </x:c>
    </x:row>
    <x:row r="142" ht="42" customHeight="1">
      <x:c r="D142" s="26" t="str">
        <x:v>D2-060</x:v>
      </x:c>
      <x:c r="E142" s="26" t="str">
        <x:v>National Stock Assessment Program Information System</x:v>
      </x:c>
      <x:c r="F142" s="26" t="str">
        <x:v>Secondary</x:v>
      </x:c>
      <x:c r="G142" s="26" t="str">
        <x:v>Data infrastructure, interoperability &amp; dashboards</x:v>
      </x:c>
      <x:c r="H142" s="26" t="str">
        <x:v>Fisheries &amp; aquaculture</x:v>
      </x:c>
      <x:c r="I142" s="26" t="str">
        <x:v>Not dedicated</x:v>
      </x:c>
      <x:c r="J142" s="26" t="str">
        <x:v>Active / operational</x:v>
      </x:c>
      <x:c r="K142" s="26" t="str">
        <x:v>High</x:v>
      </x:c>
      <x:c r="L142" s="26" t="str">
        <x:v>DA-Bureau of Fisheries and Aquatic Resources</x:v>
      </x:c>
    </x:row>
    <x:row r="143" ht="42" customHeight="1">
      <x:c r="D143" s="26" t="str">
        <x:v>D2-061</x:v>
      </x:c>
      <x:c r="E143" s="26" t="str">
        <x:v>Special Area for Agricultural Development Database</x:v>
      </x:c>
      <x:c r="F143" s="26" t="str">
        <x:v>Secondary</x:v>
      </x:c>
      <x:c r="G143" s="26" t="str">
        <x:v>Registry &amp; digital identity</x:v>
      </x:c>
      <x:c r="H143" s="26" t="str">
        <x:v>Fisheries &amp; aquaculture</x:v>
      </x:c>
      <x:c r="I143" s="26" t="str">
        <x:v>Not dedicated</x:v>
      </x:c>
      <x:c r="J143" s="26" t="str">
        <x:v>Active / operational</x:v>
      </x:c>
      <x:c r="K143" s="26" t="str">
        <x:v>High</x:v>
      </x:c>
      <x:c r="L143" s="26" t="str">
        <x:v>Department of Agriculture / BFAR SAAD Program</x:v>
      </x:c>
    </x:row>
    <x:row r="144" ht="42" customHeight="1">
      <x:c r="D144" s="26" t="str">
        <x:v>D2-061</x:v>
      </x:c>
      <x:c r="E144" s="26" t="str">
        <x:v>Special Area for Agricultural Development Database</x:v>
      </x:c>
      <x:c r="F144" s="26" t="str">
        <x:v>Secondary</x:v>
      </x:c>
      <x:c r="G144" s="26" t="str">
        <x:v>Fisheries &amp; aquaculture</x:v>
      </x:c>
      <x:c r="H144" s="26" t="str">
        <x:v>Fisheries &amp; aquaculture</x:v>
      </x:c>
      <x:c r="I144" s="26" t="str">
        <x:v>Not dedicated</x:v>
      </x:c>
      <x:c r="J144" s="26" t="str">
        <x:v>Active / operational</x:v>
      </x:c>
      <x:c r="K144" s="26" t="str">
        <x:v>High</x:v>
      </x:c>
      <x:c r="L144" s="26" t="str">
        <x:v>Department of Agriculture / BFAR SAAD Program</x:v>
      </x:c>
    </x:row>
    <x:row r="145" ht="42" customHeight="1">
      <x:c r="D145" s="26" t="str">
        <x:v>D2-061</x:v>
      </x:c>
      <x:c r="E145" s="26" t="str">
        <x:v>Special Area for Agricultural Development Database</x:v>
      </x:c>
      <x:c r="F145" s="26" t="str">
        <x:v>Primary</x:v>
      </x:c>
      <x:c r="G145" s="26" t="str">
        <x:v>Data infrastructure, interoperability &amp; dashboards</x:v>
      </x:c>
      <x:c r="H145" s="26" t="str">
        <x:v>Fisheries &amp; aquaculture</x:v>
      </x:c>
      <x:c r="I145" s="26" t="str">
        <x:v>Not dedicated</x:v>
      </x:c>
      <x:c r="J145" s="26" t="str">
        <x:v>Active / operational</x:v>
      </x:c>
      <x:c r="K145" s="26" t="str">
        <x:v>High</x:v>
      </x:c>
      <x:c r="L145" s="26" t="str">
        <x:v>Department of Agriculture / BFAR SAAD Program</x:v>
      </x:c>
    </x:row>
    <x:row r="146" ht="42" customHeight="1">
      <x:c r="D146" s="26" t="str">
        <x:v>D2-062</x:v>
      </x:c>
      <x:c r="E146" s="26" t="str">
        <x:v>Philippine Rapid Alert System for Food and Feed</x:v>
      </x:c>
      <x:c r="F146" s="26" t="str">
        <x:v>Secondary</x:v>
      </x:c>
      <x:c r="G146" s="26" t="str">
        <x:v>Markets, e-commerce &amp; logistics</x:v>
      </x:c>
      <x:c r="H146" s="26" t="str">
        <x:v>Agriculture — general</x:v>
      </x:c>
      <x:c r="I146" s="26" t="str">
        <x:v>Not dedicated</x:v>
      </x:c>
      <x:c r="J146" s="26" t="str">
        <x:v>Status unverified</x:v>
      </x:c>
      <x:c r="K146" s="26" t="str">
        <x:v>Medium</x:v>
      </x:c>
      <x:c r="L146" s="26" t="str">
        <x:v>Philippine food-safety authorities and DA agencies</x:v>
      </x:c>
    </x:row>
    <x:row r="147" ht="42" customHeight="1">
      <x:c r="D147" s="26" t="str">
        <x:v>D2-062</x:v>
      </x:c>
      <x:c r="E147" s="26" t="str">
        <x:v>Philippine Rapid Alert System for Food and Feed</x:v>
      </x:c>
      <x:c r="F147" s="26" t="str">
        <x:v>Primary</x:v>
      </x:c>
      <x:c r="G147" s="26" t="str">
        <x:v>Traceability, food safety &amp; MRV</x:v>
      </x:c>
      <x:c r="H147" s="26" t="str">
        <x:v>Agriculture — general</x:v>
      </x:c>
      <x:c r="I147" s="26" t="str">
        <x:v>Not dedicated</x:v>
      </x:c>
      <x:c r="J147" s="26" t="str">
        <x:v>Status unverified</x:v>
      </x:c>
      <x:c r="K147" s="26" t="str">
        <x:v>Medium</x:v>
      </x:c>
      <x:c r="L147" s="26" t="str">
        <x:v>Philippine food-safety authorities and DA agencies</x:v>
      </x:c>
    </x:row>
    <x:row r="148" ht="42" customHeight="1">
      <x:c r="D148" s="26" t="str">
        <x:v>D2-063</x:v>
      </x:c>
      <x:c r="E148" s="26" t="str">
        <x:v>Cost-Effective Marine Vessel Monitoring Platform through AIS Systems and Surveillance</x:v>
      </x:c>
      <x:c r="F148" s="26" t="str">
        <x:v>Secondary</x:v>
      </x:c>
      <x:c r="G148" s="26" t="str">
        <x:v>Precision agriculture, EO, drones &amp; IoT</x:v>
      </x:c>
      <x:c r="H148" s="26" t="str">
        <x:v>Fisheries &amp; aquaculture</x:v>
      </x:c>
      <x:c r="I148" s="26" t="str">
        <x:v>Not dedicated</x:v>
      </x:c>
      <x:c r="J148" s="26" t="str">
        <x:v>Project ongoing</x:v>
      </x:c>
      <x:c r="K148" s="26" t="str">
        <x:v>Medium</x:v>
      </x:c>
      <x:c r="L148" s="26" t="str">
        <x:v>DOST-ASTI</x:v>
      </x:c>
    </x:row>
    <x:row r="149" ht="42" customHeight="1">
      <x:c r="D149" s="26" t="str">
        <x:v>D2-063</x:v>
      </x:c>
      <x:c r="E149" s="26" t="str">
        <x:v>Cost-Effective Marine Vessel Monitoring Platform through AIS Systems and Surveillance</x:v>
      </x:c>
      <x:c r="F149" s="26" t="str">
        <x:v>Secondary</x:v>
      </x:c>
      <x:c r="G149" s="26" t="str">
        <x:v>Pest, disease &amp; biosecurity</x:v>
      </x:c>
      <x:c r="H149" s="26" t="str">
        <x:v>Fisheries &amp; aquaculture</x:v>
      </x:c>
      <x:c r="I149" s="26" t="str">
        <x:v>Not dedicated</x:v>
      </x:c>
      <x:c r="J149" s="26" t="str">
        <x:v>Project ongoing</x:v>
      </x:c>
      <x:c r="K149" s="26" t="str">
        <x:v>Medium</x:v>
      </x:c>
      <x:c r="L149" s="26" t="str">
        <x:v>DOST-ASTI</x:v>
      </x:c>
    </x:row>
    <x:row r="150" ht="42" customHeight="1">
      <x:c r="D150" s="26" t="str">
        <x:v>D2-063</x:v>
      </x:c>
      <x:c r="E150" s="26" t="str">
        <x:v>Cost-Effective Marine Vessel Monitoring Platform through AIS Systems and Surveillance</x:v>
      </x:c>
      <x:c r="F150" s="26" t="str">
        <x:v>Primary</x:v>
      </x:c>
      <x:c r="G150" s="26" t="str">
        <x:v>Fisheries &amp; aquaculture</x:v>
      </x:c>
      <x:c r="H150" s="26" t="str">
        <x:v>Fisheries &amp; aquaculture</x:v>
      </x:c>
      <x:c r="I150" s="26" t="str">
        <x:v>Not dedicated</x:v>
      </x:c>
      <x:c r="J150" s="26" t="str">
        <x:v>Project ongoing</x:v>
      </x:c>
      <x:c r="K150" s="26" t="str">
        <x:v>Medium</x:v>
      </x:c>
      <x:c r="L150" s="26" t="str">
        <x:v>DOST-ASTI</x:v>
      </x:c>
    </x:row>
    <x:row r="151" ht="42" customHeight="1">
      <x:c r="D151" s="26" t="str">
        <x:v>D2-063</x:v>
      </x:c>
      <x:c r="E151" s="26" t="str">
        <x:v>Cost-Effective Marine Vessel Monitoring Platform through AIS Systems and Surveillance</x:v>
      </x:c>
      <x:c r="F151" s="26" t="str">
        <x:v>Secondary</x:v>
      </x:c>
      <x:c r="G151" s="26" t="str">
        <x:v>Data infrastructure, interoperability &amp; dashboards</x:v>
      </x:c>
      <x:c r="H151" s="26" t="str">
        <x:v>Fisheries &amp; aquaculture</x:v>
      </x:c>
      <x:c r="I151" s="26" t="str">
        <x:v>Not dedicated</x:v>
      </x:c>
      <x:c r="J151" s="26" t="str">
        <x:v>Project ongoing</x:v>
      </x:c>
      <x:c r="K151" s="26" t="str">
        <x:v>Medium</x:v>
      </x:c>
      <x:c r="L151" s="26" t="str">
        <x:v>DOST-ASTI</x:v>
      </x:c>
    </x:row>
    <x:row r="152" ht="42" customHeight="1">
      <x:c r="D152" s="26" t="str">
        <x:v>D2-064</x:v>
      </x:c>
      <x:c r="E152" s="26" t="str">
        <x:v>Philippine Animal Health Information System</x:v>
      </x:c>
      <x:c r="F152" s="26" t="str">
        <x:v>Primary</x:v>
      </x:c>
      <x:c r="G152" s="26" t="str">
        <x:v>Pest, disease &amp; biosecurity</x:v>
      </x:c>
      <x:c r="H152" s="26" t="str">
        <x:v>Livestock — general</x:v>
      </x:c>
      <x:c r="I152" s="26" t="str">
        <x:v>Livestock regulatory / animal-health</x:v>
      </x:c>
      <x:c r="J152" s="26" t="str">
        <x:v>Active / operational</x:v>
      </x:c>
      <x:c r="K152" s="26" t="str">
        <x:v>High</x:v>
      </x:c>
      <x:c r="L152" s="26" t="str">
        <x:v>DA-Bureau of Animal Industry</x:v>
      </x:c>
    </x:row>
    <x:row r="153" ht="42" customHeight="1">
      <x:c r="D153" s="26" t="str">
        <x:v>D2-064</x:v>
      </x:c>
      <x:c r="E153" s="26" t="str">
        <x:v>Philippine Animal Health Information System</x:v>
      </x:c>
      <x:c r="F153" s="26" t="str">
        <x:v>Secondary</x:v>
      </x:c>
      <x:c r="G153" s="26" t="str">
        <x:v>Data infrastructure, interoperability &amp; dashboards</x:v>
      </x:c>
      <x:c r="H153" s="26" t="str">
        <x:v>Livestock — general</x:v>
      </x:c>
      <x:c r="I153" s="26" t="str">
        <x:v>Livestock regulatory / animal-health</x:v>
      </x:c>
      <x:c r="J153" s="26" t="str">
        <x:v>Active / operational</x:v>
      </x:c>
      <x:c r="K153" s="26" t="str">
        <x:v>High</x:v>
      </x:c>
      <x:c r="L153" s="26" t="str">
        <x:v>DA-Bureau of Animal Industry</x:v>
      </x:c>
    </x:row>
    <x:row r="154" ht="42" customHeight="1">
      <x:c r="D154" s="26" t="str">
        <x:v>D2-065</x:v>
      </x:c>
      <x:c r="E154" s="26" t="str">
        <x:v>Bureau of Animal Industry E-Services Portal</x:v>
      </x:c>
      <x:c r="F154" s="26" t="str">
        <x:v>Primary</x:v>
      </x:c>
      <x:c r="G154" s="26" t="str">
        <x:v>Registry &amp; digital identity</x:v>
      </x:c>
      <x:c r="H154" s="26" t="str">
        <x:v>Livestock — general</x:v>
      </x:c>
      <x:c r="I154" s="26" t="str">
        <x:v>Livestock regulatory / animal-health</x:v>
      </x:c>
      <x:c r="J154" s="26" t="str">
        <x:v>Active / operational</x:v>
      </x:c>
      <x:c r="K154" s="26" t="str">
        <x:v>High</x:v>
      </x:c>
      <x:c r="L154" s="26" t="str">
        <x:v>DA-Bureau of Animal Industry</x:v>
      </x:c>
    </x:row>
    <x:row r="155" ht="42" customHeight="1">
      <x:c r="D155" s="26" t="str">
        <x:v>D2-065</x:v>
      </x:c>
      <x:c r="E155" s="26" t="str">
        <x:v>Bureau of Animal Industry E-Services Portal</x:v>
      </x:c>
      <x:c r="F155" s="26" t="str">
        <x:v>Secondary</x:v>
      </x:c>
      <x:c r="G155" s="26" t="str">
        <x:v>Finance, insurance &amp; payments</x:v>
      </x:c>
      <x:c r="H155" s="26" t="str">
        <x:v>Livestock — general</x:v>
      </x:c>
      <x:c r="I155" s="26" t="str">
        <x:v>Livestock regulatory / animal-health</x:v>
      </x:c>
      <x:c r="J155" s="26" t="str">
        <x:v>Active / operational</x:v>
      </x:c>
      <x:c r="K155" s="26" t="str">
        <x:v>High</x:v>
      </x:c>
      <x:c r="L155" s="26" t="str">
        <x:v>DA-Bureau of Animal Industry</x:v>
      </x:c>
    </x:row>
    <x:row r="156" ht="42" customHeight="1">
      <x:c r="D156" s="26" t="str">
        <x:v>D2-066</x:v>
      </x:c>
      <x:c r="E156" s="26" t="str">
        <x:v>Livestock, Poultry and Feed Price/Data Analytics</x:v>
      </x:c>
      <x:c r="F156" s="26" t="str">
        <x:v>Secondary</x:v>
      </x:c>
      <x:c r="G156" s="26" t="str">
        <x:v>Advisory &amp; e-extension</x:v>
      </x:c>
      <x:c r="H156" s="26" t="str">
        <x:v>Rice / palay; Poultry / chicken / duck; Livestock — general</x:v>
      </x:c>
      <x:c r="I156" s="26" t="str">
        <x:v>Dedicated — poultry/chicken/duck</x:v>
      </x:c>
      <x:c r="J156" s="26" t="str">
        <x:v>Active / operational</x:v>
      </x:c>
      <x:c r="K156" s="26" t="str">
        <x:v>Medium</x:v>
      </x:c>
      <x:c r="L156" s="26" t="str">
        <x:v>DA-Bureau of Animal Industry</x:v>
      </x:c>
    </x:row>
    <x:row r="157" ht="42" customHeight="1">
      <x:c r="D157" s="26" t="str">
        <x:v>D2-066</x:v>
      </x:c>
      <x:c r="E157" s="26" t="str">
        <x:v>Livestock, Poultry and Feed Price/Data Analytics</x:v>
      </x:c>
      <x:c r="F157" s="26" t="str">
        <x:v>Primary</x:v>
      </x:c>
      <x:c r="G157" s="26" t="str">
        <x:v>Markets, e-commerce &amp; logistics</x:v>
      </x:c>
      <x:c r="H157" s="26" t="str">
        <x:v>Rice / palay; Poultry / chicken / duck; Livestock — general</x:v>
      </x:c>
      <x:c r="I157" s="26" t="str">
        <x:v>Dedicated — poultry/chicken/duck</x:v>
      </x:c>
      <x:c r="J157" s="26" t="str">
        <x:v>Active / operational</x:v>
      </x:c>
      <x:c r="K157" s="26" t="str">
        <x:v>Medium</x:v>
      </x:c>
      <x:c r="L157" s="26" t="str">
        <x:v>DA-Bureau of Animal Industry</x:v>
      </x:c>
    </x:row>
    <x:row r="158" ht="42" customHeight="1">
      <x:c r="D158" s="26" t="str">
        <x:v>D2-066</x:v>
      </x:c>
      <x:c r="E158" s="26" t="str">
        <x:v>Livestock, Poultry and Feed Price/Data Analytics</x:v>
      </x:c>
      <x:c r="F158" s="26" t="str">
        <x:v>Secondary</x:v>
      </x:c>
      <x:c r="G158" s="26" t="str">
        <x:v>Data infrastructure, interoperability &amp; dashboards</x:v>
      </x:c>
      <x:c r="H158" s="26" t="str">
        <x:v>Rice / palay; Poultry / chicken / duck; Livestock — general</x:v>
      </x:c>
      <x:c r="I158" s="26" t="str">
        <x:v>Dedicated — poultry/chicken/duck</x:v>
      </x:c>
      <x:c r="J158" s="26" t="str">
        <x:v>Active / operational</x:v>
      </x:c>
      <x:c r="K158" s="26" t="str">
        <x:v>Medium</x:v>
      </x:c>
      <x:c r="L158" s="26" t="str">
        <x:v>DA-Bureau of Animal Industry</x:v>
      </x:c>
    </x:row>
    <x:row r="159" ht="42" customHeight="1">
      <x:c r="D159" s="26" t="str">
        <x:v>D2-067</x:v>
      </x:c>
      <x:c r="E159" s="26" t="str">
        <x:v>HIDIS and Transport Carrier Registration Online System</x:v>
      </x:c>
      <x:c r="F159" s="26" t="str">
        <x:v>Secondary</x:v>
      </x:c>
      <x:c r="G159" s="26" t="str">
        <x:v>Registry &amp; digital identity</x:v>
      </x:c>
      <x:c r="H159" s="26" t="str">
        <x:v>Poultry / chicken / duck; Livestock — general</x:v>
      </x:c>
      <x:c r="I159" s="26" t="str">
        <x:v>Dedicated — poultry/chicken/duck</x:v>
      </x:c>
      <x:c r="J159" s="26" t="str">
        <x:v>Active / operational</x:v>
      </x:c>
      <x:c r="K159" s="26" t="str">
        <x:v>High</x:v>
      </x:c>
      <x:c r="L159" s="26" t="str">
        <x:v>DA-Bureau of Animal Industry</x:v>
      </x:c>
    </x:row>
    <x:row r="160" ht="42" customHeight="1">
      <x:c r="D160" s="26" t="str">
        <x:v>D2-067</x:v>
      </x:c>
      <x:c r="E160" s="26" t="str">
        <x:v>HIDIS and Transport Carrier Registration Online System</x:v>
      </x:c>
      <x:c r="F160" s="26" t="str">
        <x:v>Secondary</x:v>
      </x:c>
      <x:c r="G160" s="26" t="str">
        <x:v>Pest, disease &amp; biosecurity</x:v>
      </x:c>
      <x:c r="H160" s="26" t="str">
        <x:v>Poultry / chicken / duck; Livestock — general</x:v>
      </x:c>
      <x:c r="I160" s="26" t="str">
        <x:v>Dedicated — poultry/chicken/duck</x:v>
      </x:c>
      <x:c r="J160" s="26" t="str">
        <x:v>Active / operational</x:v>
      </x:c>
      <x:c r="K160" s="26" t="str">
        <x:v>High</x:v>
      </x:c>
      <x:c r="L160" s="26" t="str">
        <x:v>DA-Bureau of Animal Industry</x:v>
      </x:c>
    </x:row>
    <x:row r="161" ht="42" customHeight="1">
      <x:c r="D161" s="26" t="str">
        <x:v>D2-067</x:v>
      </x:c>
      <x:c r="E161" s="26" t="str">
        <x:v>HIDIS and Transport Carrier Registration Online System</x:v>
      </x:c>
      <x:c r="F161" s="26" t="str">
        <x:v>Secondary</x:v>
      </x:c>
      <x:c r="G161" s="26" t="str">
        <x:v>Markets, e-commerce &amp; logistics</x:v>
      </x:c>
      <x:c r="H161" s="26" t="str">
        <x:v>Poultry / chicken / duck; Livestock — general</x:v>
      </x:c>
      <x:c r="I161" s="26" t="str">
        <x:v>Dedicated — poultry/chicken/duck</x:v>
      </x:c>
      <x:c r="J161" s="26" t="str">
        <x:v>Active / operational</x:v>
      </x:c>
      <x:c r="K161" s="26" t="str">
        <x:v>High</x:v>
      </x:c>
      <x:c r="L161" s="26" t="str">
        <x:v>DA-Bureau of Animal Industry</x:v>
      </x:c>
    </x:row>
    <x:row r="162" ht="42" customHeight="1">
      <x:c r="D162" s="26" t="str">
        <x:v>D2-067</x:v>
      </x:c>
      <x:c r="E162" s="26" t="str">
        <x:v>HIDIS and Transport Carrier Registration Online System</x:v>
      </x:c>
      <x:c r="F162" s="26" t="str">
        <x:v>Primary</x:v>
      </x:c>
      <x:c r="G162" s="26" t="str">
        <x:v>Traceability, food safety &amp; MRV</x:v>
      </x:c>
      <x:c r="H162" s="26" t="str">
        <x:v>Poultry / chicken / duck; Livestock — general</x:v>
      </x:c>
      <x:c r="I162" s="26" t="str">
        <x:v>Dedicated — poultry/chicken/duck</x:v>
      </x:c>
      <x:c r="J162" s="26" t="str">
        <x:v>Active / operational</x:v>
      </x:c>
      <x:c r="K162" s="26" t="str">
        <x:v>High</x:v>
      </x:c>
      <x:c r="L162" s="26" t="str">
        <x:v>DA-Bureau of Animal Industry</x:v>
      </x:c>
    </x:row>
    <x:row r="163" ht="42" customHeight="1">
      <x:c r="D163" s="26" t="str">
        <x:v>D2-068</x:v>
      </x:c>
      <x:c r="E163" s="26" t="str">
        <x:v>PCIC Computer-Assisted Personal Interview / Digital Field Enrollment</x:v>
      </x:c>
      <x:c r="F163" s="26" t="str">
        <x:v>Primary</x:v>
      </x:c>
      <x:c r="G163" s="26" t="str">
        <x:v>Finance, insurance &amp; payments</x:v>
      </x:c>
      <x:c r="H163" s="26" t="str">
        <x:v>Agriculture — general</x:v>
      </x:c>
      <x:c r="I163" s="26" t="str">
        <x:v>Not dedicated</x:v>
      </x:c>
      <x:c r="J163" s="26" t="str">
        <x:v>Status unverified</x:v>
      </x:c>
      <x:c r="K163" s="26" t="str">
        <x:v>High</x:v>
      </x:c>
      <x:c r="L163" s="26" t="str">
        <x:v>Philippine Crop Insurance Corporation</x:v>
      </x:c>
    </x:row>
    <x:row r="164" ht="42" customHeight="1">
      <x:c r="D164" s="26" t="str">
        <x:v>D2-069</x:v>
      </x:c>
      <x:c r="E164" s="26" t="str">
        <x:v>Cropital</x:v>
      </x:c>
      <x:c r="F164" s="26" t="str">
        <x:v>Secondary</x:v>
      </x:c>
      <x:c r="G164" s="26" t="str">
        <x:v>Markets, e-commerce &amp; logistics</x:v>
      </x:c>
      <x:c r="H164" s="26" t="str">
        <x:v>Cross-sector</x:v>
      </x:c>
      <x:c r="I164" s="26" t="str">
        <x:v>Not dedicated</x:v>
      </x:c>
      <x:c r="J164" s="26" t="str">
        <x:v>Active / operational</x:v>
      </x:c>
      <x:c r="K164" s="26" t="str">
        <x:v>Medium</x:v>
      </x:c>
      <x:c r="L164" s="26" t="str">
        <x:v>Cropital</x:v>
      </x:c>
    </x:row>
    <x:row r="165" ht="42" customHeight="1">
      <x:c r="D165" s="26" t="str">
        <x:v>D2-069</x:v>
      </x:c>
      <x:c r="E165" s="26" t="str">
        <x:v>Cropital</x:v>
      </x:c>
      <x:c r="F165" s="26" t="str">
        <x:v>Primary</x:v>
      </x:c>
      <x:c r="G165" s="26" t="str">
        <x:v>Finance, insurance &amp; payments</x:v>
      </x:c>
      <x:c r="H165" s="26" t="str">
        <x:v>Cross-sector</x:v>
      </x:c>
      <x:c r="I165" s="26" t="str">
        <x:v>Not dedicated</x:v>
      </x:c>
      <x:c r="J165" s="26" t="str">
        <x:v>Active / operational</x:v>
      </x:c>
      <x:c r="K165" s="26" t="str">
        <x:v>Medium</x:v>
      </x:c>
      <x:c r="L165" s="26" t="str">
        <x:v>Cropital</x:v>
      </x:c>
    </x:row>
    <x:row r="166" ht="42" customHeight="1">
      <x:c r="D166" s="26" t="str">
        <x:v>D2-070</x:v>
      </x:c>
      <x:c r="E166" s="26" t="str">
        <x:v>FarmOn</x:v>
      </x:c>
      <x:c r="F166" s="26" t="str">
        <x:v>Primary</x:v>
      </x:c>
      <x:c r="G166" s="26" t="str">
        <x:v>Finance, insurance &amp; payments</x:v>
      </x:c>
      <x:c r="H166" s="26" t="str">
        <x:v>Cross-sector; Livestock — general</x:v>
      </x:c>
      <x:c r="I166" s="26" t="str">
        <x:v>Livestock regulatory / animal-health</x:v>
      </x:c>
      <x:c r="J166" s="26" t="str">
        <x:v>Status unverified</x:v>
      </x:c>
      <x:c r="K166" s="26" t="str">
        <x:v>Low</x:v>
      </x:c>
      <x:c r="L166" s="26" t="str">
        <x:v>FarmOn</x:v>
      </x:c>
    </x:row>
    <x:row r="167" ht="42" customHeight="1">
      <x:c r="D167" s="26" t="str">
        <x:v>D2-071</x:v>
      </x:c>
      <x:c r="E167" s="26" t="str">
        <x:v>Mayani</x:v>
      </x:c>
      <x:c r="F167" s="26" t="str">
        <x:v>Primary</x:v>
      </x:c>
      <x:c r="G167" s="26" t="str">
        <x:v>Markets, e-commerce &amp; logistics</x:v>
      </x:c>
      <x:c r="H167" s="26" t="str">
        <x:v>Fisheries &amp; aquaculture</x:v>
      </x:c>
      <x:c r="I167" s="26" t="str">
        <x:v>Not dedicated</x:v>
      </x:c>
      <x:c r="J167" s="26" t="str">
        <x:v>Active / operational</x:v>
      </x:c>
      <x:c r="K167" s="26" t="str">
        <x:v>High</x:v>
      </x:c>
      <x:c r="L167" s="26" t="str">
        <x:v>Mayani</x:v>
      </x:c>
    </x:row>
    <x:row r="168" ht="42" customHeight="1">
      <x:c r="D168" s="26" t="str">
        <x:v>D2-071</x:v>
      </x:c>
      <x:c r="E168" s="26" t="str">
        <x:v>Mayani</x:v>
      </x:c>
      <x:c r="F168" s="26" t="str">
        <x:v>Secondary</x:v>
      </x:c>
      <x:c r="G168" s="26" t="str">
        <x:v>Finance, insurance &amp; payments</x:v>
      </x:c>
      <x:c r="H168" s="26" t="str">
        <x:v>Fisheries &amp; aquaculture</x:v>
      </x:c>
      <x:c r="I168" s="26" t="str">
        <x:v>Not dedicated</x:v>
      </x:c>
      <x:c r="J168" s="26" t="str">
        <x:v>Active / operational</x:v>
      </x:c>
      <x:c r="K168" s="26" t="str">
        <x:v>High</x:v>
      </x:c>
      <x:c r="L168" s="26" t="str">
        <x:v>Mayani</x:v>
      </x:c>
    </x:row>
    <x:row r="169" ht="42" customHeight="1">
      <x:c r="D169" s="26" t="str">
        <x:v>D2-071</x:v>
      </x:c>
      <x:c r="E169" s="26" t="str">
        <x:v>Mayani</x:v>
      </x:c>
      <x:c r="F169" s="26" t="str">
        <x:v>Secondary</x:v>
      </x:c>
      <x:c r="G169" s="26" t="str">
        <x:v>Fisheries &amp; aquaculture</x:v>
      </x:c>
      <x:c r="H169" s="26" t="str">
        <x:v>Fisheries &amp; aquaculture</x:v>
      </x:c>
      <x:c r="I169" s="26" t="str">
        <x:v>Not dedicated</x:v>
      </x:c>
      <x:c r="J169" s="26" t="str">
        <x:v>Active / operational</x:v>
      </x:c>
      <x:c r="K169" s="26" t="str">
        <x:v>High</x:v>
      </x:c>
      <x:c r="L169" s="26" t="str">
        <x:v>Mayani</x:v>
      </x:c>
    </x:row>
    <x:row r="170" ht="42" customHeight="1">
      <x:c r="D170" s="26" t="str">
        <x:v>D2-072</x:v>
      </x:c>
      <x:c r="E170" s="26" t="str">
        <x:v>KITA Agritech</x:v>
      </x:c>
      <x:c r="F170" s="26" t="str">
        <x:v>Primary</x:v>
      </x:c>
      <x:c r="G170" s="26" t="str">
        <x:v>Markets, e-commerce &amp; logistics</x:v>
      </x:c>
      <x:c r="H170" s="26" t="str">
        <x:v>Agriculture — general</x:v>
      </x:c>
      <x:c r="I170" s="26" t="str">
        <x:v>Not dedicated</x:v>
      </x:c>
      <x:c r="J170" s="26" t="str">
        <x:v>Active / operational</x:v>
      </x:c>
      <x:c r="K170" s="26" t="str">
        <x:v>High</x:v>
      </x:c>
      <x:c r="L170" s="26" t="str">
        <x:v>Kita Agribusiness Corporation</x:v>
      </x:c>
    </x:row>
    <x:row r="171" ht="42" customHeight="1">
      <x:c r="D171" s="26" t="str">
        <x:v>D2-073</x:v>
      </x:c>
      <x:c r="E171" s="26" t="str">
        <x:v>GOEdenPH</x:v>
      </x:c>
      <x:c r="F171" s="26" t="str">
        <x:v>Secondary</x:v>
      </x:c>
      <x:c r="G171" s="26" t="str">
        <x:v>Pest, disease &amp; biosecurity</x:v>
      </x:c>
      <x:c r="H171" s="26" t="str">
        <x:v>Seeds / germplasm / breeds</x:v>
      </x:c>
      <x:c r="I171" s="26" t="str">
        <x:v>Not dedicated</x:v>
      </x:c>
      <x:c r="J171" s="26" t="str">
        <x:v>Active / operational</x:v>
      </x:c>
      <x:c r="K171" s="26" t="str">
        <x:v>High</x:v>
      </x:c>
      <x:c r="L171" s="26" t="str">
        <x:v>GOEden</x:v>
      </x:c>
    </x:row>
    <x:row r="172" ht="42" customHeight="1">
      <x:c r="D172" s="26" t="str">
        <x:v>D2-073</x:v>
      </x:c>
      <x:c r="E172" s="26" t="str">
        <x:v>GOEdenPH</x:v>
      </x:c>
      <x:c r="F172" s="26" t="str">
        <x:v>Primary</x:v>
      </x:c>
      <x:c r="G172" s="26" t="str">
        <x:v>Inputs, seed &amp; nutrient tools</x:v>
      </x:c>
      <x:c r="H172" s="26" t="str">
        <x:v>Seeds / germplasm / breeds</x:v>
      </x:c>
      <x:c r="I172" s="26" t="str">
        <x:v>Not dedicated</x:v>
      </x:c>
      <x:c r="J172" s="26" t="str">
        <x:v>Active / operational</x:v>
      </x:c>
      <x:c r="K172" s="26" t="str">
        <x:v>High</x:v>
      </x:c>
      <x:c r="L172" s="26" t="str">
        <x:v>GOEden</x:v>
      </x:c>
    </x:row>
    <x:row r="173" ht="42" customHeight="1">
      <x:c r="D173" s="26" t="str">
        <x:v>D2-073</x:v>
      </x:c>
      <x:c r="E173" s="26" t="str">
        <x:v>GOEdenPH</x:v>
      </x:c>
      <x:c r="F173" s="26" t="str">
        <x:v>Secondary</x:v>
      </x:c>
      <x:c r="G173" s="26" t="str">
        <x:v>Markets, e-commerce &amp; logistics</x:v>
      </x:c>
      <x:c r="H173" s="26" t="str">
        <x:v>Seeds / germplasm / breeds</x:v>
      </x:c>
      <x:c r="I173" s="26" t="str">
        <x:v>Not dedicated</x:v>
      </x:c>
      <x:c r="J173" s="26" t="str">
        <x:v>Active / operational</x:v>
      </x:c>
      <x:c r="K173" s="26" t="str">
        <x:v>High</x:v>
      </x:c>
      <x:c r="L173" s="26" t="str">
        <x:v>GOEden</x:v>
      </x:c>
    </x:row>
    <x:row r="174" ht="42" customHeight="1">
      <x:c r="D174" s="26" t="str">
        <x:v>D2-074</x:v>
      </x:c>
      <x:c r="E174" s="26" t="str">
        <x:v>Agrabah Marketplace</x:v>
      </x:c>
      <x:c r="F174" s="26" t="str">
        <x:v>Primary</x:v>
      </x:c>
      <x:c r="G174" s="26" t="str">
        <x:v>Markets, e-commerce &amp; logistics</x:v>
      </x:c>
      <x:c r="H174" s="26" t="str">
        <x:v>Agriculture — general</x:v>
      </x:c>
      <x:c r="I174" s="26" t="str">
        <x:v>Not dedicated</x:v>
      </x:c>
      <x:c r="J174" s="26" t="str">
        <x:v>Status unverified</x:v>
      </x:c>
      <x:c r="K174" s="26" t="str">
        <x:v>Low</x:v>
      </x:c>
      <x:c r="L174" s="26" t="str">
        <x:v>Agrabah Ventures and partners</x:v>
      </x:c>
    </x:row>
    <x:row r="175" ht="42" customHeight="1">
      <x:c r="D175" s="26" t="str">
        <x:v>D2-075</x:v>
      </x:c>
      <x:c r="E175" s="26" t="str">
        <x:v>Agro-DigitalPH</x:v>
      </x:c>
      <x:c r="F175" s="26" t="str">
        <x:v>Primary</x:v>
      </x:c>
      <x:c r="G175" s="26" t="str">
        <x:v>Markets, e-commerce &amp; logistics</x:v>
      </x:c>
      <x:c r="H175" s="26" t="str">
        <x:v>Agriculture — general</x:v>
      </x:c>
      <x:c r="I175" s="26" t="str">
        <x:v>Not dedicated</x:v>
      </x:c>
      <x:c r="J175" s="26" t="str">
        <x:v>Active / status partly verified</x:v>
      </x:c>
      <x:c r="K175" s="26" t="str">
        <x:v>Medium</x:v>
      </x:c>
      <x:c r="L175" s="26" t="str">
        <x:v>Agro-DigitalPH</x:v>
      </x:c>
    </x:row>
    <x:row r="176" ht="42" customHeight="1">
      <x:c r="D176" s="26" t="str">
        <x:v>D2-076</x:v>
      </x:c>
      <x:c r="E176" s="26" t="str">
        <x:v>ANI Express</x:v>
      </x:c>
      <x:c r="F176" s="26" t="str">
        <x:v>Primary</x:v>
      </x:c>
      <x:c r="G176" s="26" t="str">
        <x:v>Markets, e-commerce &amp; logistics</x:v>
      </x:c>
      <x:c r="H176" s="26" t="str">
        <x:v>Agriculture — general</x:v>
      </x:c>
      <x:c r="I176" s="26" t="str">
        <x:v>Not dedicated</x:v>
      </x:c>
      <x:c r="J176" s="26" t="str">
        <x:v>Status unverified</x:v>
      </x:c>
      <x:c r="K176" s="26" t="str">
        <x:v>Low</x:v>
      </x:c>
      <x:c r="L176" s="26" t="str">
        <x:v>Private enterprise platform reported in PIDS</x:v>
      </x:c>
    </x:row>
    <x:row r="177" ht="42" customHeight="1">
      <x:c r="D177" s="26" t="str">
        <x:v>D2-077</x:v>
      </x:c>
      <x:c r="E177" s="26" t="str">
        <x:v>Co-opBiz</x:v>
      </x:c>
      <x:c r="F177" s="26" t="str">
        <x:v>Primary</x:v>
      </x:c>
      <x:c r="G177" s="26" t="str">
        <x:v>Markets, e-commerce &amp; logistics</x:v>
      </x:c>
      <x:c r="H177" s="26" t="str">
        <x:v>Cross-sector</x:v>
      </x:c>
      <x:c r="I177" s="26" t="str">
        <x:v>Not dedicated</x:v>
      </x:c>
      <x:c r="J177" s="26" t="str">
        <x:v>Status unverified</x:v>
      </x:c>
      <x:c r="K177" s="26" t="str">
        <x:v>Medium</x:v>
      </x:c>
      <x:c r="L177" s="26" t="str">
        <x:v>Cooperative Development Authority / cooperative partners</x:v>
      </x:c>
    </x:row>
    <x:row r="178" ht="42" customHeight="1">
      <x:c r="D178" s="26" t="str">
        <x:v>D2-078</x:v>
      </x:c>
      <x:c r="E178" s="26" t="str">
        <x:v>OneSTore.ph</x:v>
      </x:c>
      <x:c r="F178" s="26" t="str">
        <x:v>Primary</x:v>
      </x:c>
      <x:c r="G178" s="26" t="str">
        <x:v>Markets, e-commerce &amp; logistics</x:v>
      </x:c>
      <x:c r="H178" s="26" t="str">
        <x:v>Cross-sector</x:v>
      </x:c>
      <x:c r="I178" s="26" t="str">
        <x:v>Not dedicated</x:v>
      </x:c>
      <x:c r="J178" s="26" t="str">
        <x:v>Active / operational</x:v>
      </x:c>
      <x:c r="K178" s="26" t="str">
        <x:v>Medium</x:v>
      </x:c>
      <x:c r="L178" s="26" t="str">
        <x:v>Department of Science and Technology</x:v>
      </x:c>
    </x:row>
    <x:row r="179" ht="42" customHeight="1">
      <x:c r="D179" s="26" t="str">
        <x:v>D2-079</x:v>
      </x:c>
      <x:c r="E179" s="26" t="str">
        <x:v>Pili Marketplace</x:v>
      </x:c>
      <x:c r="F179" s="26" t="str">
        <x:v>Primary</x:v>
      </x:c>
      <x:c r="G179" s="26" t="str">
        <x:v>Markets, e-commerce &amp; logistics</x:v>
      </x:c>
      <x:c r="H179" s="26" t="str">
        <x:v>Agriculture — general</x:v>
      </x:c>
      <x:c r="I179" s="26" t="str">
        <x:v>Not dedicated</x:v>
      </x:c>
      <x:c r="J179" s="26" t="str">
        <x:v>Status unverified</x:v>
      </x:c>
      <x:c r="K179" s="26" t="str">
        <x:v>Low</x:v>
      </x:c>
      <x:c r="L179" s="26" t="str">
        <x:v>Private / local platform reported in PIDS</x:v>
      </x:c>
    </x:row>
    <x:row r="180" ht="42" customHeight="1">
      <x:c r="D180" s="26" t="str">
        <x:v>D2-080</x:v>
      </x:c>
      <x:c r="E180" s="26" t="str">
        <x:v>Rural Rising Philippines Digital Market Channels</x:v>
      </x:c>
      <x:c r="F180" s="26" t="str">
        <x:v>Primary</x:v>
      </x:c>
      <x:c r="G180" s="26" t="str">
        <x:v>Markets, e-commerce &amp; logistics</x:v>
      </x:c>
      <x:c r="H180" s="26" t="str">
        <x:v>Cross-sector</x:v>
      </x:c>
      <x:c r="I180" s="26" t="str">
        <x:v>Not dedicated</x:v>
      </x:c>
      <x:c r="J180" s="26" t="str">
        <x:v>Active / operational</x:v>
      </x:c>
      <x:c r="K180" s="26" t="str">
        <x:v>Medium</x:v>
      </x:c>
      <x:c r="L180" s="26" t="str">
        <x:v>Rural Rising Philippines</x:v>
      </x:c>
    </x:row>
    <x:row r="181" ht="42" customHeight="1">
      <x:c r="D181" s="26" t="str">
        <x:v>D2-081</x:v>
      </x:c>
      <x:c r="E181" s="26" t="str">
        <x:v>Session Groceries</x:v>
      </x:c>
      <x:c r="F181" s="26" t="str">
        <x:v>Primary</x:v>
      </x:c>
      <x:c r="G181" s="26" t="str">
        <x:v>Markets, e-commerce &amp; logistics</x:v>
      </x:c>
      <x:c r="H181" s="26" t="str">
        <x:v>Agriculture — general</x:v>
      </x:c>
      <x:c r="I181" s="26" t="str">
        <x:v>Not dedicated</x:v>
      </x:c>
      <x:c r="J181" s="26" t="str">
        <x:v>Status unverified</x:v>
      </x:c>
      <x:c r="K181" s="26" t="str">
        <x:v>Low</x:v>
      </x:c>
      <x:c r="L181" s="26" t="str">
        <x:v>Session Groceries</x:v>
      </x:c>
    </x:row>
    <x:row r="182" ht="42" customHeight="1">
      <x:c r="D182" s="26" t="str">
        <x:v>D2-082</x:v>
      </x:c>
      <x:c r="E182" s="26" t="str">
        <x:v>Zagana</x:v>
      </x:c>
      <x:c r="F182" s="26" t="str">
        <x:v>Primary</x:v>
      </x:c>
      <x:c r="G182" s="26" t="str">
        <x:v>Markets, e-commerce &amp; logistics</x:v>
      </x:c>
      <x:c r="H182" s="26" t="str">
        <x:v>Agriculture — general</x:v>
      </x:c>
      <x:c r="I182" s="26" t="str">
        <x:v>Not dedicated</x:v>
      </x:c>
      <x:c r="J182" s="26" t="str">
        <x:v>Active / status partly verified</x:v>
      </x:c>
      <x:c r="K182" s="26" t="str">
        <x:v>Low</x:v>
      </x:c>
      <x:c r="L182" s="26" t="str">
        <x:v>Zagana</x:v>
      </x:c>
    </x:row>
    <x:row r="183" ht="42" customHeight="1">
      <x:c r="D183" s="26" t="str">
        <x:v>D2-083</x:v>
      </x:c>
      <x:c r="E183" s="26" t="str">
        <x:v>Livegreen International</x:v>
      </x:c>
      <x:c r="F183" s="26" t="str">
        <x:v>Primary</x:v>
      </x:c>
      <x:c r="G183" s="26" t="str">
        <x:v>Markets, e-commerce &amp; logistics</x:v>
      </x:c>
      <x:c r="H183" s="26" t="str">
        <x:v>Agriculture — general</x:v>
      </x:c>
      <x:c r="I183" s="26" t="str">
        <x:v>Not dedicated</x:v>
      </x:c>
      <x:c r="J183" s="26" t="str">
        <x:v>Status unverified</x:v>
      </x:c>
      <x:c r="K183" s="26" t="str">
        <x:v>Low</x:v>
      </x:c>
      <x:c r="L183" s="26" t="str">
        <x:v>Livegreen International</x:v>
      </x:c>
    </x:row>
    <x:row r="184" ht="42" customHeight="1">
      <x:c r="D184" s="26" t="str">
        <x:v>D2-084</x:v>
      </x:c>
      <x:c r="E184" s="26" t="str">
        <x:v>Ani Farm Marketplace</x:v>
      </x:c>
      <x:c r="F184" s="26" t="str">
        <x:v>Primary</x:v>
      </x:c>
      <x:c r="G184" s="26" t="str">
        <x:v>Markets, e-commerce &amp; logistics</x:v>
      </x:c>
      <x:c r="H184" s="26" t="str">
        <x:v>Agriculture — general</x:v>
      </x:c>
      <x:c r="I184" s="26" t="str">
        <x:v>Not dedicated</x:v>
      </x:c>
      <x:c r="J184" s="26" t="str">
        <x:v>Active / operational</x:v>
      </x:c>
      <x:c r="K184" s="26" t="str">
        <x:v>Low</x:v>
      </x:c>
      <x:c r="L184" s="26" t="str">
        <x:v>Coding Canary / private startup</x:v>
      </x:c>
    </x:row>
    <x:row r="185" ht="42" customHeight="1">
      <x:c r="D185" s="26" t="str">
        <x:v>D2-085</x:v>
      </x:c>
      <x:c r="E185" s="26" t="str">
        <x:v>Agriculturist PH / Tagani</x:v>
      </x:c>
      <x:c r="F185" s="26" t="str">
        <x:v>Primary</x:v>
      </x:c>
      <x:c r="G185" s="26" t="str">
        <x:v>Advisory &amp; e-extension</x:v>
      </x:c>
      <x:c r="H185" s="26" t="str">
        <x:v>Cross-sector</x:v>
      </x:c>
      <x:c r="I185" s="26" t="str">
        <x:v>Not dedicated</x:v>
      </x:c>
      <x:c r="J185" s="26" t="str">
        <x:v>Active / status partly verified</x:v>
      </x:c>
      <x:c r="K185" s="26" t="str">
        <x:v>Medium</x:v>
      </x:c>
      <x:c r="L185" s="26" t="str">
        <x:v>Tagani Inc. / Agriculturist PH</x:v>
      </x:c>
    </x:row>
    <x:row r="186" ht="42" customHeight="1">
      <x:c r="D186" s="26" t="str">
        <x:v>D2-086</x:v>
      </x:c>
      <x:c r="E186" s="26" t="str">
        <x:v>Krops</x:v>
      </x:c>
      <x:c r="F186" s="26" t="str">
        <x:v>Primary</x:v>
      </x:c>
      <x:c r="G186" s="26" t="str">
        <x:v>Markets, e-commerce &amp; logistics</x:v>
      </x:c>
      <x:c r="H186" s="26" t="str">
        <x:v>Agriculture — general</x:v>
      </x:c>
      <x:c r="I186" s="26" t="str">
        <x:v>Not dedicated</x:v>
      </x:c>
      <x:c r="J186" s="26" t="str">
        <x:v>Status unverified</x:v>
      </x:c>
      <x:c r="K186" s="26" t="str">
        <x:v>Low</x:v>
      </x:c>
      <x:c r="L186" s="26" t="str">
        <x:v>Private startup</x:v>
      </x:c>
    </x:row>
    <x:row r="187" ht="42" customHeight="1">
      <x:c r="D187" s="26" t="str">
        <x:v>D2-087</x:v>
      </x:c>
      <x:c r="E187" s="26" t="str">
        <x:v>e-Magsasaka</x:v>
      </x:c>
      <x:c r="F187" s="26" t="str">
        <x:v>Secondary</x:v>
      </x:c>
      <x:c r="G187" s="26" t="str">
        <x:v>Advisory &amp; e-extension</x:v>
      </x:c>
      <x:c r="H187" s="26" t="str">
        <x:v>Agriculture — general</x:v>
      </x:c>
      <x:c r="I187" s="26" t="str">
        <x:v>Not dedicated</x:v>
      </x:c>
      <x:c r="J187" s="26" t="str">
        <x:v>Status unverified</x:v>
      </x:c>
      <x:c r="K187" s="26" t="str">
        <x:v>Low</x:v>
      </x:c>
      <x:c r="L187" s="26" t="str">
        <x:v>Private / community initiative</x:v>
      </x:c>
    </x:row>
    <x:row r="188" ht="42" customHeight="1">
      <x:c r="D188" s="26" t="str">
        <x:v>D2-087</x:v>
      </x:c>
      <x:c r="E188" s="26" t="str">
        <x:v>e-Magsasaka</x:v>
      </x:c>
      <x:c r="F188" s="26" t="str">
        <x:v>Primary</x:v>
      </x:c>
      <x:c r="G188" s="26" t="str">
        <x:v>Markets, e-commerce &amp; logistics</x:v>
      </x:c>
      <x:c r="H188" s="26" t="str">
        <x:v>Agriculture — general</x:v>
      </x:c>
      <x:c r="I188" s="26" t="str">
        <x:v>Not dedicated</x:v>
      </x:c>
      <x:c r="J188" s="26" t="str">
        <x:v>Status unverified</x:v>
      </x:c>
      <x:c r="K188" s="26" t="str">
        <x:v>Low</x:v>
      </x:c>
      <x:c r="L188" s="26" t="str">
        <x:v>Private / community initiative</x:v>
      </x:c>
    </x:row>
    <x:row r="189" ht="42" customHeight="1">
      <x:c r="D189" s="26" t="str">
        <x:v>D2-088</x:v>
      </x:c>
      <x:c r="E189" s="26" t="str">
        <x:v>Agrilever</x:v>
      </x:c>
      <x:c r="F189" s="26" t="str">
        <x:v>Primary</x:v>
      </x:c>
      <x:c r="G189" s="26" t="str">
        <x:v>Finance, insurance &amp; payments</x:v>
      </x:c>
      <x:c r="H189" s="26" t="str">
        <x:v>Agriculture — general</x:v>
      </x:c>
      <x:c r="I189" s="26" t="str">
        <x:v>Not dedicated</x:v>
      </x:c>
      <x:c r="J189" s="26" t="str">
        <x:v>Status unverified</x:v>
      </x:c>
      <x:c r="K189" s="26" t="str">
        <x:v>Low</x:v>
      </x:c>
      <x:c r="L189" s="26" t="str">
        <x:v>Private startup</x:v>
      </x:c>
    </x:row>
    <x:row r="190" ht="42" customHeight="1">
      <x:c r="D190" s="26" t="str">
        <x:v>D2-089</x:v>
      </x:c>
      <x:c r="E190" s="26" t="str">
        <x:v>Sakahon</x:v>
      </x:c>
      <x:c r="F190" s="26" t="str">
        <x:v>Secondary</x:v>
      </x:c>
      <x:c r="G190" s="26" t="str">
        <x:v>Advisory &amp; e-extension</x:v>
      </x:c>
      <x:c r="H190" s="26" t="str">
        <x:v>Agriculture — general</x:v>
      </x:c>
      <x:c r="I190" s="26" t="str">
        <x:v>Not dedicated</x:v>
      </x:c>
      <x:c r="J190" s="26" t="str">
        <x:v>Status unverified</x:v>
      </x:c>
      <x:c r="K190" s="26" t="str">
        <x:v>Low</x:v>
      </x:c>
      <x:c r="L190" s="26" t="str">
        <x:v>Private startup</x:v>
      </x:c>
    </x:row>
    <x:row r="191" ht="42" customHeight="1">
      <x:c r="D191" s="26" t="str">
        <x:v>D2-089</x:v>
      </x:c>
      <x:c r="E191" s="26" t="str">
        <x:v>Sakahon</x:v>
      </x:c>
      <x:c r="F191" s="26" t="str">
        <x:v>Primary</x:v>
      </x:c>
      <x:c r="G191" s="26" t="str">
        <x:v>Farm management &amp; decision support</x:v>
      </x:c>
      <x:c r="H191" s="26" t="str">
        <x:v>Agriculture — general</x:v>
      </x:c>
      <x:c r="I191" s="26" t="str">
        <x:v>Not dedicated</x:v>
      </x:c>
      <x:c r="J191" s="26" t="str">
        <x:v>Status unverified</x:v>
      </x:c>
      <x:c r="K191" s="26" t="str">
        <x:v>Low</x:v>
      </x:c>
      <x:c r="L191" s="26" t="str">
        <x:v>Private startup</x:v>
      </x:c>
    </x:row>
    <x:row r="192" ht="42" customHeight="1">
      <x:c r="D192" s="26" t="str">
        <x:v>D2-090</x:v>
      </x:c>
      <x:c r="E192" s="26" t="str">
        <x:v>Farm Konekt</x:v>
      </x:c>
      <x:c r="F192" s="26" t="str">
        <x:v>Primary</x:v>
      </x:c>
      <x:c r="G192" s="26" t="str">
        <x:v>Markets, e-commerce &amp; logistics</x:v>
      </x:c>
      <x:c r="H192" s="26" t="str">
        <x:v>Agriculture — general</x:v>
      </x:c>
      <x:c r="I192" s="26" t="str">
        <x:v>Not dedicated</x:v>
      </x:c>
      <x:c r="J192" s="26" t="str">
        <x:v>Status unverified</x:v>
      </x:c>
      <x:c r="K192" s="26" t="str">
        <x:v>Low</x:v>
      </x:c>
      <x:c r="L192" s="26" t="str">
        <x:v>Private startup / initiative</x:v>
      </x:c>
    </x:row>
    <x:row r="193" ht="42" customHeight="1">
      <x:c r="D193" s="26" t="str">
        <x:v>D2-091</x:v>
      </x:c>
      <x:c r="E193" s="26" t="str">
        <x:v>iCarus Agri-Tech</x:v>
      </x:c>
      <x:c r="F193" s="26" t="str">
        <x:v>Secondary</x:v>
      </x:c>
      <x:c r="G193" s="26" t="str">
        <x:v>Farm management &amp; decision support</x:v>
      </x:c>
      <x:c r="H193" s="26" t="str">
        <x:v>Cross-sector</x:v>
      </x:c>
      <x:c r="I193" s="26" t="str">
        <x:v>Not dedicated</x:v>
      </x:c>
      <x:c r="J193" s="26" t="str">
        <x:v>Active / status partly verified</x:v>
      </x:c>
      <x:c r="K193" s="26" t="str">
        <x:v>Medium</x:v>
      </x:c>
      <x:c r="L193" s="26" t="str">
        <x:v>iCarus Agri-Tech</x:v>
      </x:c>
    </x:row>
    <x:row r="194" ht="42" customHeight="1">
      <x:c r="D194" s="26" t="str">
        <x:v>D2-091</x:v>
      </x:c>
      <x:c r="E194" s="26" t="str">
        <x:v>iCarus Agri-Tech</x:v>
      </x:c>
      <x:c r="F194" s="26" t="str">
        <x:v>Primary</x:v>
      </x:c>
      <x:c r="G194" s="26" t="str">
        <x:v>Precision agriculture, EO, drones &amp; IoT</x:v>
      </x:c>
      <x:c r="H194" s="26" t="str">
        <x:v>Cross-sector</x:v>
      </x:c>
      <x:c r="I194" s="26" t="str">
        <x:v>Not dedicated</x:v>
      </x:c>
      <x:c r="J194" s="26" t="str">
        <x:v>Active / status partly verified</x:v>
      </x:c>
      <x:c r="K194" s="26" t="str">
        <x:v>Medium</x:v>
      </x:c>
      <x:c r="L194" s="26" t="str">
        <x:v>iCarus Agri-Tech</x:v>
      </x:c>
    </x:row>
    <x:row r="195" ht="42" customHeight="1">
      <x:c r="D195" s="26" t="str">
        <x:v>D2-092</x:v>
      </x:c>
      <x:c r="E195" s="26" t="str">
        <x:v>Facebook Marketplace for Agri-products</x:v>
      </x:c>
      <x:c r="F195" s="26" t="str">
        <x:v>Primary</x:v>
      </x:c>
      <x:c r="G195" s="26" t="str">
        <x:v>Markets, e-commerce &amp; logistics</x:v>
      </x:c>
      <x:c r="H195" s="26" t="str">
        <x:v>Cross-sector</x:v>
      </x:c>
      <x:c r="I195" s="26" t="str">
        <x:v>Not dedicated</x:v>
      </x:c>
      <x:c r="J195" s="26" t="str">
        <x:v>Active / operational</x:v>
      </x:c>
      <x:c r="K195" s="26" t="str">
        <x:v>Low</x:v>
      </x:c>
      <x:c r="L195" s="26" t="str">
        <x:v>Platform owner / DTI for Go Lokal!</x:v>
      </x:c>
    </x:row>
    <x:row r="196" ht="42" customHeight="1">
      <x:c r="D196" s="26" t="str">
        <x:v>D2-093</x:v>
      </x:c>
      <x:c r="E196" s="26" t="str">
        <x:v>Lazada Agriculture and Farm-supply Channels</x:v>
      </x:c>
      <x:c r="F196" s="26" t="str">
        <x:v>Primary</x:v>
      </x:c>
      <x:c r="G196" s="26" t="str">
        <x:v>Markets, e-commerce &amp; logistics</x:v>
      </x:c>
      <x:c r="H196" s="26" t="str">
        <x:v>Cross-sector</x:v>
      </x:c>
      <x:c r="I196" s="26" t="str">
        <x:v>Not dedicated</x:v>
      </x:c>
      <x:c r="J196" s="26" t="str">
        <x:v>Active / operational</x:v>
      </x:c>
      <x:c r="K196" s="26" t="str">
        <x:v>Low</x:v>
      </x:c>
      <x:c r="L196" s="26" t="str">
        <x:v>Platform owner / DTI for Go Lokal!</x:v>
      </x:c>
    </x:row>
    <x:row r="197" ht="42" customHeight="1">
      <x:c r="D197" s="26" t="str">
        <x:v>D2-094</x:v>
      </x:c>
      <x:c r="E197" s="26" t="str">
        <x:v>Shopee Agriculture and Farm-supply Channels</x:v>
      </x:c>
      <x:c r="F197" s="26" t="str">
        <x:v>Primary</x:v>
      </x:c>
      <x:c r="G197" s="26" t="str">
        <x:v>Markets, e-commerce &amp; logistics</x:v>
      </x:c>
      <x:c r="H197" s="26" t="str">
        <x:v>Cross-sector</x:v>
      </x:c>
      <x:c r="I197" s="26" t="str">
        <x:v>Not dedicated</x:v>
      </x:c>
      <x:c r="J197" s="26" t="str">
        <x:v>Active / operational</x:v>
      </x:c>
      <x:c r="K197" s="26" t="str">
        <x:v>Low</x:v>
      </x:c>
      <x:c r="L197" s="26" t="str">
        <x:v>Platform owner / DTI for Go Lokal!</x:v>
      </x:c>
    </x:row>
    <x:row r="198" ht="42" customHeight="1">
      <x:c r="D198" s="26" t="str">
        <x:v>D2-095</x:v>
      </x:c>
      <x:c r="E198" s="26" t="str">
        <x:v>Go Lokal! Digital Market Channels</x:v>
      </x:c>
      <x:c r="F198" s="26" t="str">
        <x:v>Primary</x:v>
      </x:c>
      <x:c r="G198" s="26" t="str">
        <x:v>Markets, e-commerce &amp; logistics</x:v>
      </x:c>
      <x:c r="H198" s="26" t="str">
        <x:v>Cross-sector</x:v>
      </x:c>
      <x:c r="I198" s="26" t="str">
        <x:v>Not dedicated</x:v>
      </x:c>
      <x:c r="J198" s="26" t="str">
        <x:v>Active / operational</x:v>
      </x:c>
      <x:c r="K198" s="26" t="str">
        <x:v>Low</x:v>
      </x:c>
      <x:c r="L198" s="26" t="str">
        <x:v>Platform owner / DTI for Go Lokal!</x:v>
      </x:c>
    </x:row>
    <x:row r="199" ht="42" customHeight="1">
      <x:c r="D199" s="26" t="str">
        <x:v>D2-096</x:v>
      </x:c>
      <x:c r="E199" s="26" t="str">
        <x:v>Global Market Intelligence Platform</x:v>
      </x:c>
      <x:c r="F199" s="26" t="str">
        <x:v>Primary</x:v>
      </x:c>
      <x:c r="G199" s="26" t="str">
        <x:v>Markets, e-commerce &amp; logistics</x:v>
      </x:c>
      <x:c r="H199" s="26" t="str">
        <x:v>Agriculture — general</x:v>
      </x:c>
      <x:c r="I199" s="26" t="str">
        <x:v>Not dedicated</x:v>
      </x:c>
      <x:c r="J199" s="26" t="str">
        <x:v>Active / operational</x:v>
      </x:c>
      <x:c r="K199" s="26" t="str">
        <x:v>Medium</x:v>
      </x:c>
      <x:c r="L199" s="26" t="str">
        <x:v>CGIAR and partners</x:v>
      </x:c>
    </x:row>
    <x:row r="200" ht="42" customHeight="1">
      <x:c r="D200" s="26" t="str">
        <x:v>D2-096</x:v>
      </x:c>
      <x:c r="E200" s="26" t="str">
        <x:v>Global Market Intelligence Platform</x:v>
      </x:c>
      <x:c r="F200" s="26" t="str">
        <x:v>Secondary</x:v>
      </x:c>
      <x:c r="G200" s="26" t="str">
        <x:v>Data infrastructure, interoperability &amp; dashboards</x:v>
      </x:c>
      <x:c r="H200" s="26" t="str">
        <x:v>Agriculture — general</x:v>
      </x:c>
      <x:c r="I200" s="26" t="str">
        <x:v>Not dedicated</x:v>
      </x:c>
      <x:c r="J200" s="26" t="str">
        <x:v>Active / operational</x:v>
      </x:c>
      <x:c r="K200" s="26" t="str">
        <x:v>Medium</x:v>
      </x:c>
      <x:c r="L200" s="26" t="str">
        <x:v>CGIAR and partners</x:v>
      </x:c>
    </x:row>
    <x:row r="201" ht="42" customHeight="1">
      <x:c r="D201" s="26" t="str">
        <x:v>D2-097</x:v>
      </x:c>
      <x:c r="E201" s="26" t="str">
        <x:v>eDECIDE Data Analysis and API Platform</x:v>
      </x:c>
      <x:c r="F201" s="26" t="str">
        <x:v>Primary</x:v>
      </x:c>
      <x:c r="G201" s="26" t="str">
        <x:v>Data infrastructure, interoperability &amp; dashboards</x:v>
      </x:c>
      <x:c r="H201" s="26" t="str">
        <x:v>Cross-sector</x:v>
      </x:c>
      <x:c r="I201" s="26" t="str">
        <x:v>Not dedicated</x:v>
      </x:c>
      <x:c r="J201" s="26" t="str">
        <x:v>Project ongoing</x:v>
      </x:c>
      <x:c r="K201" s="26" t="str">
        <x:v>Medium</x:v>
      </x:c>
      <x:c r="L201" s="26" t="str">
        <x:v>DOST-ASTI</x:v>
      </x:c>
    </x:row>
    <x:row r="202" ht="42" customHeight="1">
      <x:c r="D202" s="26" t="str">
        <x:v>D2-098</x:v>
      </x:c>
      <x:c r="E202" s="26" t="str">
        <x:v>BlockSTART National Blockchain Infrastructure Feasibility Study</x:v>
      </x:c>
      <x:c r="F202" s="26" t="str">
        <x:v>Secondary</x:v>
      </x:c>
      <x:c r="G202" s="26" t="str">
        <x:v>Traceability, food safety &amp; MRV</x:v>
      </x:c>
      <x:c r="H202" s="26" t="str">
        <x:v>Cross-sector</x:v>
      </x:c>
      <x:c r="I202" s="26" t="str">
        <x:v>Not dedicated</x:v>
      </x:c>
      <x:c r="J202" s="26" t="str">
        <x:v>Project completed / next phase unverified</x:v>
      </x:c>
      <x:c r="K202" s="26" t="str">
        <x:v>Low</x:v>
      </x:c>
      <x:c r="L202" s="26" t="str">
        <x:v>DOST-ASTI / DOST-PCIEERD</x:v>
      </x:c>
    </x:row>
    <x:row r="203" ht="42" customHeight="1">
      <x:c r="D203" s="26" t="str">
        <x:v>D2-098</x:v>
      </x:c>
      <x:c r="E203" s="26" t="str">
        <x:v>BlockSTART National Blockchain Infrastructure Feasibility Study</x:v>
      </x:c>
      <x:c r="F203" s="26" t="str">
        <x:v>Primary</x:v>
      </x:c>
      <x:c r="G203" s="26" t="str">
        <x:v>Data infrastructure, interoperability &amp; dashboards</x:v>
      </x:c>
      <x:c r="H203" s="26" t="str">
        <x:v>Cross-sector</x:v>
      </x:c>
      <x:c r="I203" s="26" t="str">
        <x:v>Not dedicated</x:v>
      </x:c>
      <x:c r="J203" s="26" t="str">
        <x:v>Project completed / next phase unverified</x:v>
      </x:c>
      <x:c r="K203" s="26" t="str">
        <x:v>Low</x:v>
      </x:c>
      <x:c r="L203" s="26" t="str">
        <x:v>DOST-ASTI / DOST-PCIEERD</x:v>
      </x:c>
    </x:row>
    <x:row r="204" ht="42" customHeight="1">
      <x:c r="D204" s="26" t="str">
        <x:v>D2-099</x:v>
      </x:c>
      <x:c r="E204" s="26" t="str">
        <x:v>DigiSaka Digital Agriculture System</x:v>
      </x:c>
      <x:c r="F204" s="26" t="str">
        <x:v>Secondary</x:v>
      </x:c>
      <x:c r="G204" s="26" t="str">
        <x:v>Registry &amp; digital identity</x:v>
      </x:c>
      <x:c r="H204" s="26" t="str">
        <x:v>Cross-sector; Rice / palay</x:v>
      </x:c>
      <x:c r="I204" s="26" t="str">
        <x:v>Not dedicated</x:v>
      </x:c>
      <x:c r="J204" s="26" t="str">
        <x:v>Project ongoing</x:v>
      </x:c>
      <x:c r="K204" s="26" t="str">
        <x:v>High</x:v>
      </x:c>
      <x:c r="L204" s="26" t="str">
        <x:v>Leads Agricultural Products Corporation with IMPACT R&amp;D and partners</x:v>
      </x:c>
    </x:row>
    <x:row r="205" ht="42" customHeight="1">
      <x:c r="D205" s="26" t="str">
        <x:v>D2-099</x:v>
      </x:c>
      <x:c r="E205" s="26" t="str">
        <x:v>DigiSaka Digital Agriculture System</x:v>
      </x:c>
      <x:c r="F205" s="26" t="str">
        <x:v>Secondary</x:v>
      </x:c>
      <x:c r="G205" s="26" t="str">
        <x:v>Advisory &amp; e-extension</x:v>
      </x:c>
      <x:c r="H205" s="26" t="str">
        <x:v>Cross-sector; Rice / palay</x:v>
      </x:c>
      <x:c r="I205" s="26" t="str">
        <x:v>Not dedicated</x:v>
      </x:c>
      <x:c r="J205" s="26" t="str">
        <x:v>Project ongoing</x:v>
      </x:c>
      <x:c r="K205" s="26" t="str">
        <x:v>High</x:v>
      </x:c>
      <x:c r="L205" s="26" t="str">
        <x:v>Leads Agricultural Products Corporation with IMPACT R&amp;D and partners</x:v>
      </x:c>
    </x:row>
    <x:row r="206" ht="42" customHeight="1">
      <x:c r="D206" s="26" t="str">
        <x:v>D2-099</x:v>
      </x:c>
      <x:c r="E206" s="26" t="str">
        <x:v>DigiSaka Digital Agriculture System</x:v>
      </x:c>
      <x:c r="F206" s="26" t="str">
        <x:v>Primary</x:v>
      </x:c>
      <x:c r="G206" s="26" t="str">
        <x:v>Farm management &amp; decision support</x:v>
      </x:c>
      <x:c r="H206" s="26" t="str">
        <x:v>Cross-sector; Rice / palay</x:v>
      </x:c>
      <x:c r="I206" s="26" t="str">
        <x:v>Not dedicated</x:v>
      </x:c>
      <x:c r="J206" s="26" t="str">
        <x:v>Project ongoing</x:v>
      </x:c>
      <x:c r="K206" s="26" t="str">
        <x:v>High</x:v>
      </x:c>
      <x:c r="L206" s="26" t="str">
        <x:v>Leads Agricultural Products Corporation with IMPACT R&amp;D and partners</x:v>
      </x:c>
    </x:row>
    <x:row r="207" ht="42" customHeight="1">
      <x:c r="D207" s="26" t="str">
        <x:v>D2-099</x:v>
      </x:c>
      <x:c r="E207" s="26" t="str">
        <x:v>DigiSaka Digital Agriculture System</x:v>
      </x:c>
      <x:c r="F207" s="26" t="str">
        <x:v>Secondary</x:v>
      </x:c>
      <x:c r="G207" s="26" t="str">
        <x:v>Climate, weather &amp; early warning</x:v>
      </x:c>
      <x:c r="H207" s="26" t="str">
        <x:v>Cross-sector; Rice / palay</x:v>
      </x:c>
      <x:c r="I207" s="26" t="str">
        <x:v>Not dedicated</x:v>
      </x:c>
      <x:c r="J207" s="26" t="str">
        <x:v>Project ongoing</x:v>
      </x:c>
      <x:c r="K207" s="26" t="str">
        <x:v>High</x:v>
      </x:c>
      <x:c r="L207" s="26" t="str">
        <x:v>Leads Agricultural Products Corporation with IMPACT R&amp;D and partners</x:v>
      </x:c>
    </x:row>
    <x:row r="208" ht="42" customHeight="1">
      <x:c r="D208" s="26" t="str">
        <x:v>D2-099</x:v>
      </x:c>
      <x:c r="E208" s="26" t="str">
        <x:v>DigiSaka Digital Agriculture System</x:v>
      </x:c>
      <x:c r="F208" s="26" t="str">
        <x:v>Secondary</x:v>
      </x:c>
      <x:c r="G208" s="26" t="str">
        <x:v>Precision agriculture, EO, drones &amp; IoT</x:v>
      </x:c>
      <x:c r="H208" s="26" t="str">
        <x:v>Cross-sector; Rice / palay</x:v>
      </x:c>
      <x:c r="I208" s="26" t="str">
        <x:v>Not dedicated</x:v>
      </x:c>
      <x:c r="J208" s="26" t="str">
        <x:v>Project ongoing</x:v>
      </x:c>
      <x:c r="K208" s="26" t="str">
        <x:v>High</x:v>
      </x:c>
      <x:c r="L208" s="26" t="str">
        <x:v>Leads Agricultural Products Corporation with IMPACT R&amp;D and partners</x:v>
      </x:c>
    </x:row>
    <x:row r="209" ht="42" customHeight="1">
      <x:c r="D209" s="26" t="str">
        <x:v>D2-099</x:v>
      </x:c>
      <x:c r="E209" s="26" t="str">
        <x:v>DigiSaka Digital Agriculture System</x:v>
      </x:c>
      <x:c r="F209" s="26" t="str">
        <x:v>Secondary</x:v>
      </x:c>
      <x:c r="G209" s="26" t="str">
        <x:v>Pest, disease &amp; biosecurity</x:v>
      </x:c>
      <x:c r="H209" s="26" t="str">
        <x:v>Cross-sector; Rice / palay</x:v>
      </x:c>
      <x:c r="I209" s="26" t="str">
        <x:v>Not dedicated</x:v>
      </x:c>
      <x:c r="J209" s="26" t="str">
        <x:v>Project ongoing</x:v>
      </x:c>
      <x:c r="K209" s="26" t="str">
        <x:v>High</x:v>
      </x:c>
      <x:c r="L209" s="26" t="str">
        <x:v>Leads Agricultural Products Corporation with IMPACT R&amp;D and partners</x:v>
      </x:c>
    </x:row>
    <x:row r="210" ht="42" customHeight="1">
      <x:c r="D210" s="26" t="str">
        <x:v>D2-099</x:v>
      </x:c>
      <x:c r="E210" s="26" t="str">
        <x:v>DigiSaka Digital Agriculture System</x:v>
      </x:c>
      <x:c r="F210" s="26" t="str">
        <x:v>Secondary</x:v>
      </x:c>
      <x:c r="G210" s="26" t="str">
        <x:v>Mechanization &amp; equipment-as-a-service</x:v>
      </x:c>
      <x:c r="H210" s="26" t="str">
        <x:v>Cross-sector; Rice / palay</x:v>
      </x:c>
      <x:c r="I210" s="26" t="str">
        <x:v>Not dedicated</x:v>
      </x:c>
      <x:c r="J210" s="26" t="str">
        <x:v>Project ongoing</x:v>
      </x:c>
      <x:c r="K210" s="26" t="str">
        <x:v>High</x:v>
      </x:c>
      <x:c r="L210" s="26" t="str">
        <x:v>Leads Agricultural Products Corporation with IMPACT R&amp;D and partners</x:v>
      </x:c>
    </x:row>
    <x:row r="211" ht="42" customHeight="1">
      <x:c r="D211" s="26" t="str">
        <x:v>D2-099</x:v>
      </x:c>
      <x:c r="E211" s="26" t="str">
        <x:v>DigiSaka Digital Agriculture System</x:v>
      </x:c>
      <x:c r="F211" s="26" t="str">
        <x:v>Secondary</x:v>
      </x:c>
      <x:c r="G211" s="26" t="str">
        <x:v>Markets, e-commerce &amp; logistics</x:v>
      </x:c>
      <x:c r="H211" s="26" t="str">
        <x:v>Cross-sector; Rice / palay</x:v>
      </x:c>
      <x:c r="I211" s="26" t="str">
        <x:v>Not dedicated</x:v>
      </x:c>
      <x:c r="J211" s="26" t="str">
        <x:v>Project ongoing</x:v>
      </x:c>
      <x:c r="K211" s="26" t="str">
        <x:v>High</x:v>
      </x:c>
      <x:c r="L211" s="26" t="str">
        <x:v>Leads Agricultural Products Corporation with IMPACT R&amp;D and partners</x:v>
      </x:c>
    </x:row>
    <x:row r="212" ht="42" customHeight="1">
      <x:c r="D212" s="26" t="str">
        <x:v>D2-099</x:v>
      </x:c>
      <x:c r="E212" s="26" t="str">
        <x:v>DigiSaka Digital Agriculture System</x:v>
      </x:c>
      <x:c r="F212" s="26" t="str">
        <x:v>Secondary</x:v>
      </x:c>
      <x:c r="G212" s="26" t="str">
        <x:v>Finance, insurance &amp; payments</x:v>
      </x:c>
      <x:c r="H212" s="26" t="str">
        <x:v>Cross-sector; Rice / palay</x:v>
      </x:c>
      <x:c r="I212" s="26" t="str">
        <x:v>Not dedicated</x:v>
      </x:c>
      <x:c r="J212" s="26" t="str">
        <x:v>Project ongoing</x:v>
      </x:c>
      <x:c r="K212" s="26" t="str">
        <x:v>High</x:v>
      </x:c>
      <x:c r="L212" s="26" t="str">
        <x:v>Leads Agricultural Products Corporation with IMPACT R&amp;D and partners</x:v>
      </x:c>
    </x:row>
    <x:row r="213" ht="42" customHeight="1">
      <x:c r="D213" s="26" t="str">
        <x:v>D2-099</x:v>
      </x:c>
      <x:c r="E213" s="26" t="str">
        <x:v>DigiSaka Digital Agriculture System</x:v>
      </x:c>
      <x:c r="F213" s="26" t="str">
        <x:v>Secondary</x:v>
      </x:c>
      <x:c r="G213" s="26" t="str">
        <x:v>Traceability, food safety &amp; MRV</x:v>
      </x:c>
      <x:c r="H213" s="26" t="str">
        <x:v>Cross-sector; Rice / palay</x:v>
      </x:c>
      <x:c r="I213" s="26" t="str">
        <x:v>Not dedicated</x:v>
      </x:c>
      <x:c r="J213" s="26" t="str">
        <x:v>Project ongoing</x:v>
      </x:c>
      <x:c r="K213" s="26" t="str">
        <x:v>High</x:v>
      </x:c>
      <x:c r="L213" s="26" t="str">
        <x:v>Leads Agricultural Products Corporation with IMPACT R&amp;D and partners</x:v>
      </x:c>
    </x:row>
    <x:row r="214" ht="42" customHeight="1">
      <x:c r="D214" s="26" t="str">
        <x:v>D2-099</x:v>
      </x:c>
      <x:c r="E214" s="26" t="str">
        <x:v>DigiSaka Digital Agriculture System</x:v>
      </x:c>
      <x:c r="F214" s="26" t="str">
        <x:v>Secondary</x:v>
      </x:c>
      <x:c r="G214" s="26" t="str">
        <x:v>Data infrastructure, interoperability &amp; dashboards</x:v>
      </x:c>
      <x:c r="H214" s="26" t="str">
        <x:v>Cross-sector; Rice / palay</x:v>
      </x:c>
      <x:c r="I214" s="26" t="str">
        <x:v>Not dedicated</x:v>
      </x:c>
      <x:c r="J214" s="26" t="str">
        <x:v>Project ongoing</x:v>
      </x:c>
      <x:c r="K214" s="26" t="str">
        <x:v>High</x:v>
      </x:c>
      <x:c r="L214" s="26" t="str">
        <x:v>Leads Agricultural Products Corporation with IMPACT R&amp;D and partners</x:v>
      </x:c>
    </x:row>
    <x:row r="215" ht="42" customHeight="1">
      <x:c r="D215" s="26" t="str">
        <x:v>D2-100</x:v>
      </x:c>
      <x:c r="E215" s="26" t="str">
        <x:v>Smarter and Innovative Agriculture Virtual Hub</x:v>
      </x:c>
      <x:c r="F215" s="26" t="str">
        <x:v>Secondary</x:v>
      </x:c>
      <x:c r="G215" s="26" t="str">
        <x:v>Climate, weather &amp; early warning</x:v>
      </x:c>
      <x:c r="H215" s="26" t="str">
        <x:v>Cross-sector</x:v>
      </x:c>
      <x:c r="I215" s="26" t="str">
        <x:v>Not dedicated</x:v>
      </x:c>
      <x:c r="J215" s="26" t="str">
        <x:v>Project ongoing / planning</x:v>
      </x:c>
      <x:c r="K215" s="26" t="str">
        <x:v>High</x:v>
      </x:c>
      <x:c r="L215" s="26" t="str">
        <x:v>DOST Region III</x:v>
      </x:c>
    </x:row>
    <x:row r="216" ht="42" customHeight="1">
      <x:c r="D216" s="26" t="str">
        <x:v>D2-100</x:v>
      </x:c>
      <x:c r="E216" s="26" t="str">
        <x:v>Smarter and Innovative Agriculture Virtual Hub</x:v>
      </x:c>
      <x:c r="F216" s="26" t="str">
        <x:v>Primary</x:v>
      </x:c>
      <x:c r="G216" s="26" t="str">
        <x:v>Data infrastructure, interoperability &amp; dashboards</x:v>
      </x:c>
      <x:c r="H216" s="26" t="str">
        <x:v>Cross-sector</x:v>
      </x:c>
      <x:c r="I216" s="26" t="str">
        <x:v>Not dedicated</x:v>
      </x:c>
      <x:c r="J216" s="26" t="str">
        <x:v>Project ongoing / planning</x:v>
      </x:c>
      <x:c r="K216" s="26" t="str">
        <x:v>High</x:v>
      </x:c>
      <x:c r="L216" s="26" t="str">
        <x:v>DOST Region III</x:v>
      </x:c>
    </x:row>
    <x:row r="217" ht="42" customHeight="1">
      <x:c r="D217" s="26" t="str">
        <x:v>D2-101</x:v>
      </x:c>
      <x:c r="E217" s="26" t="str">
        <x:v>Integrated Farm Attribution for Risk and Resource Monitoring and Management</x:v>
      </x:c>
      <x:c r="F217" s="26" t="str">
        <x:v>Primary</x:v>
      </x:c>
      <x:c r="G217" s="26" t="str">
        <x:v>Farm management &amp; decision support</x:v>
      </x:c>
      <x:c r="H217" s="26" t="str">
        <x:v>Cross-sector; Corn / maize</x:v>
      </x:c>
      <x:c r="I217" s="26" t="str">
        <x:v>Not dedicated</x:v>
      </x:c>
      <x:c r="J217" s="26" t="str">
        <x:v>Active / expanding</x:v>
      </x:c>
      <x:c r="K217" s="26" t="str">
        <x:v>High</x:v>
      </x:c>
      <x:c r="L217" s="26" t="str">
        <x:v>Department of Agriculture / DA-BAR / regional field offices</x:v>
      </x:c>
    </x:row>
    <x:row r="218" ht="42" customHeight="1">
      <x:c r="D218" s="26" t="str">
        <x:v>D2-101</x:v>
      </x:c>
      <x:c r="E218" s="26" t="str">
        <x:v>Integrated Farm Attribution for Risk and Resource Monitoring and Management</x:v>
      </x:c>
      <x:c r="F218" s="26" t="str">
        <x:v>Secondary</x:v>
      </x:c>
      <x:c r="G218" s="26" t="str">
        <x:v>Climate, weather &amp; early warning</x:v>
      </x:c>
      <x:c r="H218" s="26" t="str">
        <x:v>Cross-sector; Corn / maize</x:v>
      </x:c>
      <x:c r="I218" s="26" t="str">
        <x:v>Not dedicated</x:v>
      </x:c>
      <x:c r="J218" s="26" t="str">
        <x:v>Active / expanding</x:v>
      </x:c>
      <x:c r="K218" s="26" t="str">
        <x:v>High</x:v>
      </x:c>
      <x:c r="L218" s="26" t="str">
        <x:v>Department of Agriculture / DA-BAR / regional field offices</x:v>
      </x:c>
    </x:row>
    <x:row r="219" ht="42" customHeight="1">
      <x:c r="D219" s="26" t="str">
        <x:v>D2-101</x:v>
      </x:c>
      <x:c r="E219" s="26" t="str">
        <x:v>Integrated Farm Attribution for Risk and Resource Monitoring and Management</x:v>
      </x:c>
      <x:c r="F219" s="26" t="str">
        <x:v>Secondary</x:v>
      </x:c>
      <x:c r="G219" s="26" t="str">
        <x:v>Precision agriculture, EO, drones &amp; IoT</x:v>
      </x:c>
      <x:c r="H219" s="26" t="str">
        <x:v>Cross-sector; Corn / maize</x:v>
      </x:c>
      <x:c r="I219" s="26" t="str">
        <x:v>Not dedicated</x:v>
      </x:c>
      <x:c r="J219" s="26" t="str">
        <x:v>Active / expanding</x:v>
      </x:c>
      <x:c r="K219" s="26" t="str">
        <x:v>High</x:v>
      </x:c>
      <x:c r="L219" s="26" t="str">
        <x:v>Department of Agriculture / DA-BAR / regional field offices</x:v>
      </x:c>
    </x:row>
    <x:row r="220" ht="42" customHeight="1">
      <x:c r="D220" s="26" t="str">
        <x:v>D2-101</x:v>
      </x:c>
      <x:c r="E220" s="26" t="str">
        <x:v>Integrated Farm Attribution for Risk and Resource Monitoring and Management</x:v>
      </x:c>
      <x:c r="F220" s="26" t="str">
        <x:v>Secondary</x:v>
      </x:c>
      <x:c r="G220" s="26" t="str">
        <x:v>Data infrastructure, interoperability &amp; dashboards</x:v>
      </x:c>
      <x:c r="H220" s="26" t="str">
        <x:v>Cross-sector; Corn / maize</x:v>
      </x:c>
      <x:c r="I220" s="26" t="str">
        <x:v>Not dedicated</x:v>
      </x:c>
      <x:c r="J220" s="26" t="str">
        <x:v>Active / expanding</x:v>
      </x:c>
      <x:c r="K220" s="26" t="str">
        <x:v>High</x:v>
      </x:c>
      <x:c r="L220" s="26" t="str">
        <x:v>Department of Agriculture / DA-BAR / regional field offices</x:v>
      </x:c>
    </x:row>
    <x:row r="221" ht="42" customHeight="1">
      <x:c r="D221" s="26" t="str">
        <x:v>D2-102</x:v>
      </x:c>
      <x:c r="E221" s="26" t="str">
        <x:v>Automated Water Level Monitoring System Philippines</x:v>
      </x:c>
      <x:c r="F221" s="26" t="str">
        <x:v>Primary</x:v>
      </x:c>
      <x:c r="G221" s="26" t="str">
        <x:v>Precision agriculture, EO, drones &amp; IoT</x:v>
      </x:c>
      <x:c r="H221" s="26" t="str">
        <x:v>Rice / palay</x:v>
      </x:c>
      <x:c r="I221" s="26" t="str">
        <x:v>Not dedicated</x:v>
      </x:c>
      <x:c r="J221" s="26" t="str">
        <x:v>Active / operational</x:v>
      </x:c>
      <x:c r="K221" s="26" t="str">
        <x:v>High</x:v>
      </x:c>
      <x:c r="L221" s="26" t="str">
        <x:v>IRRI, DA-PhilRice and Department of Agriculture</x:v>
      </x:c>
    </x:row>
    <x:row r="222" ht="42" customHeight="1">
      <x:c r="D222" s="26" t="str">
        <x:v>D2-102</x:v>
      </x:c>
      <x:c r="E222" s="26" t="str">
        <x:v>Automated Water Level Monitoring System Philippines</x:v>
      </x:c>
      <x:c r="F222" s="26" t="str">
        <x:v>Secondary</x:v>
      </x:c>
      <x:c r="G222" s="26" t="str">
        <x:v>Traceability, food safety &amp; MRV</x:v>
      </x:c>
      <x:c r="H222" s="26" t="str">
        <x:v>Rice / palay</x:v>
      </x:c>
      <x:c r="I222" s="26" t="str">
        <x:v>Not dedicated</x:v>
      </x:c>
      <x:c r="J222" s="26" t="str">
        <x:v>Active / operational</x:v>
      </x:c>
      <x:c r="K222" s="26" t="str">
        <x:v>High</x:v>
      </x:c>
      <x:c r="L222" s="26" t="str">
        <x:v>IRRI, DA-PhilRice and Department of Agriculture</x:v>
      </x:c>
    </x:row>
    <x:row r="223" ht="42" customHeight="1">
      <x:c r="D223" s="26" t="str">
        <x:v>D2-103</x:v>
      </x:c>
      <x:c r="E223" s="26" t="str">
        <x:v>Rice Seed Information System</x:v>
      </x:c>
      <x:c r="F223" s="26" t="str">
        <x:v>Secondary</x:v>
      </x:c>
      <x:c r="G223" s="26" t="str">
        <x:v>Registry &amp; digital identity</x:v>
      </x:c>
      <x:c r="H223" s="26" t="str">
        <x:v>Rice / palay; Seeds / germplasm / breeds</x:v>
      </x:c>
      <x:c r="I223" s="26" t="str">
        <x:v>Not dedicated</x:v>
      </x:c>
      <x:c r="J223" s="26" t="str">
        <x:v>Active / operational</x:v>
      </x:c>
      <x:c r="K223" s="26" t="str">
        <x:v>High</x:v>
      </x:c>
      <x:c r="L223" s="26" t="str">
        <x:v>Department of Agriculture, BPI, DA-PhilRice, DA-BAR and regional offices</x:v>
      </x:c>
    </x:row>
    <x:row r="224" ht="42" customHeight="1">
      <x:c r="D224" s="26" t="str">
        <x:v>D2-103</x:v>
      </x:c>
      <x:c r="E224" s="26" t="str">
        <x:v>Rice Seed Information System</x:v>
      </x:c>
      <x:c r="F224" s="26" t="str">
        <x:v>Primary</x:v>
      </x:c>
      <x:c r="G224" s="26" t="str">
        <x:v>Inputs, seed &amp; nutrient tools</x:v>
      </x:c>
      <x:c r="H224" s="26" t="str">
        <x:v>Rice / palay; Seeds / germplasm / breeds</x:v>
      </x:c>
      <x:c r="I224" s="26" t="str">
        <x:v>Not dedicated</x:v>
      </x:c>
      <x:c r="J224" s="26" t="str">
        <x:v>Active / operational</x:v>
      </x:c>
      <x:c r="K224" s="26" t="str">
        <x:v>High</x:v>
      </x:c>
      <x:c r="L224" s="26" t="str">
        <x:v>Department of Agriculture, BPI, DA-PhilRice, DA-BAR and regional offices</x:v>
      </x:c>
    </x:row>
    <x:row r="225" ht="42" customHeight="1">
      <x:c r="D225" s="26" t="str">
        <x:v>D2-103</x:v>
      </x:c>
      <x:c r="E225" s="26" t="str">
        <x:v>Rice Seed Information System</x:v>
      </x:c>
      <x:c r="F225" s="26" t="str">
        <x:v>Secondary</x:v>
      </x:c>
      <x:c r="G225" s="26" t="str">
        <x:v>Markets, e-commerce &amp; logistics</x:v>
      </x:c>
      <x:c r="H225" s="26" t="str">
        <x:v>Rice / palay; Seeds / germplasm / breeds</x:v>
      </x:c>
      <x:c r="I225" s="26" t="str">
        <x:v>Not dedicated</x:v>
      </x:c>
      <x:c r="J225" s="26" t="str">
        <x:v>Active / operational</x:v>
      </x:c>
      <x:c r="K225" s="26" t="str">
        <x:v>High</x:v>
      </x:c>
      <x:c r="L225" s="26" t="str">
        <x:v>Department of Agriculture, BPI, DA-PhilRice, DA-BAR and regional offices</x:v>
      </x:c>
    </x:row>
    <x:row r="226" ht="42" customHeight="1">
      <x:c r="D226" s="26" t="str">
        <x:v>D2-103</x:v>
      </x:c>
      <x:c r="E226" s="26" t="str">
        <x:v>Rice Seed Information System</x:v>
      </x:c>
      <x:c r="F226" s="26" t="str">
        <x:v>Secondary</x:v>
      </x:c>
      <x:c r="G226" s="26" t="str">
        <x:v>Traceability, food safety &amp; MRV</x:v>
      </x:c>
      <x:c r="H226" s="26" t="str">
        <x:v>Rice / palay; Seeds / germplasm / breeds</x:v>
      </x:c>
      <x:c r="I226" s="26" t="str">
        <x:v>Not dedicated</x:v>
      </x:c>
      <x:c r="J226" s="26" t="str">
        <x:v>Active / operational</x:v>
      </x:c>
      <x:c r="K226" s="26" t="str">
        <x:v>High</x:v>
      </x:c>
      <x:c r="L226" s="26" t="str">
        <x:v>Department of Agriculture, BPI, DA-PhilRice, DA-BAR and regional offices</x:v>
      </x:c>
    </x:row>
    <x:row r="227" ht="42" customHeight="1">
      <x:c r="D227" s="26" t="str">
        <x:v>D2-103</x:v>
      </x:c>
      <x:c r="E227" s="26" t="str">
        <x:v>Rice Seed Information System</x:v>
      </x:c>
      <x:c r="F227" s="26" t="str">
        <x:v>Secondary</x:v>
      </x:c>
      <x:c r="G227" s="26" t="str">
        <x:v>Data infrastructure, interoperability &amp; dashboards</x:v>
      </x:c>
      <x:c r="H227" s="26" t="str">
        <x:v>Rice / palay; Seeds / germplasm / breeds</x:v>
      </x:c>
      <x:c r="I227" s="26" t="str">
        <x:v>Not dedicated</x:v>
      </x:c>
      <x:c r="J227" s="26" t="str">
        <x:v>Active / operational</x:v>
      </x:c>
      <x:c r="K227" s="26" t="str">
        <x:v>High</x:v>
      </x:c>
      <x:c r="L227" s="26" t="str">
        <x:v>Department of Agriculture, BPI, DA-PhilRice, DA-BAR and regional offices</x:v>
      </x:c>
    </x:row>
    <x:row r="228" ht="42" customHeight="1">
      <x:c r="D228" s="26" t="str">
        <x:v>D2-104</x:v>
      </x:c>
      <x:c r="E228" s="26" t="str">
        <x:v>RSIS GrowApp / Application for Seed Certification</x:v>
      </x:c>
      <x:c r="F228" s="26" t="str">
        <x:v>Primary</x:v>
      </x:c>
      <x:c r="G228" s="26" t="str">
        <x:v>Inputs, seed &amp; nutrient tools</x:v>
      </x:c>
      <x:c r="H228" s="26" t="str">
        <x:v>Rice / palay; Seeds / germplasm / breeds</x:v>
      </x:c>
      <x:c r="I228" s="26" t="str">
        <x:v>Not dedicated</x:v>
      </x:c>
      <x:c r="J228" s="26" t="str">
        <x:v>Active / operational</x:v>
      </x:c>
      <x:c r="K228" s="26" t="str">
        <x:v>High</x:v>
      </x:c>
      <x:c r="L228" s="26" t="str">
        <x:v>BPI-NSQCS and DA-PhilRice under RSIS</x:v>
      </x:c>
    </x:row>
    <x:row r="229" ht="42" customHeight="1">
      <x:c r="D229" s="26" t="str">
        <x:v>D2-104</x:v>
      </x:c>
      <x:c r="E229" s="26" t="str">
        <x:v>RSIS GrowApp / Application for Seed Certification</x:v>
      </x:c>
      <x:c r="F229" s="26" t="str">
        <x:v>Secondary</x:v>
      </x:c>
      <x:c r="G229" s="26" t="str">
        <x:v>Traceability, food safety &amp; MRV</x:v>
      </x:c>
      <x:c r="H229" s="26" t="str">
        <x:v>Rice / palay; Seeds / germplasm / breeds</x:v>
      </x:c>
      <x:c r="I229" s="26" t="str">
        <x:v>Not dedicated</x:v>
      </x:c>
      <x:c r="J229" s="26" t="str">
        <x:v>Active / operational</x:v>
      </x:c>
      <x:c r="K229" s="26" t="str">
        <x:v>High</x:v>
      </x:c>
      <x:c r="L229" s="26" t="str">
        <x:v>BPI-NSQCS and DA-PhilRice under RSIS</x:v>
      </x:c>
    </x:row>
    <x:row r="230" ht="42" customHeight="1">
      <x:c r="D230" s="26" t="str">
        <x:v>D2-105</x:v>
      </x:c>
      <x:c r="E230" s="26" t="str">
        <x:v>RSIS Seed Inspector Application</x:v>
      </x:c>
      <x:c r="F230" s="26" t="str">
        <x:v>Secondary</x:v>
      </x:c>
      <x:c r="G230" s="26" t="str">
        <x:v>Registry &amp; digital identity</x:v>
      </x:c>
      <x:c r="H230" s="26" t="str">
        <x:v>Rice / palay; Seeds / germplasm / breeds</x:v>
      </x:c>
      <x:c r="I230" s="26" t="str">
        <x:v>Not dedicated</x:v>
      </x:c>
      <x:c r="J230" s="26" t="str">
        <x:v>Active / operational</x:v>
      </x:c>
      <x:c r="K230" s="26" t="str">
        <x:v>High</x:v>
      </x:c>
      <x:c r="L230" s="26" t="str">
        <x:v>BPI-NSQCS and DA-PhilRice under RSIS</x:v>
      </x:c>
    </x:row>
    <x:row r="231" ht="42" customHeight="1">
      <x:c r="D231" s="26" t="str">
        <x:v>D2-105</x:v>
      </x:c>
      <x:c r="E231" s="26" t="str">
        <x:v>RSIS Seed Inspector Application</x:v>
      </x:c>
      <x:c r="F231" s="26" t="str">
        <x:v>Primary</x:v>
      </x:c>
      <x:c r="G231" s="26" t="str">
        <x:v>Inputs, seed &amp; nutrient tools</x:v>
      </x:c>
      <x:c r="H231" s="26" t="str">
        <x:v>Rice / palay; Seeds / germplasm / breeds</x:v>
      </x:c>
      <x:c r="I231" s="26" t="str">
        <x:v>Not dedicated</x:v>
      </x:c>
      <x:c r="J231" s="26" t="str">
        <x:v>Active / operational</x:v>
      </x:c>
      <x:c r="K231" s="26" t="str">
        <x:v>High</x:v>
      </x:c>
      <x:c r="L231" s="26" t="str">
        <x:v>BPI-NSQCS and DA-PhilRice under RSIS</x:v>
      </x:c>
    </x:row>
    <x:row r="232" ht="42" customHeight="1">
      <x:c r="D232" s="26" t="str">
        <x:v>D2-105</x:v>
      </x:c>
      <x:c r="E232" s="26" t="str">
        <x:v>RSIS Seed Inspector Application</x:v>
      </x:c>
      <x:c r="F232" s="26" t="str">
        <x:v>Secondary</x:v>
      </x:c>
      <x:c r="G232" s="26" t="str">
        <x:v>Traceability, food safety &amp; MRV</x:v>
      </x:c>
      <x:c r="H232" s="26" t="str">
        <x:v>Rice / palay; Seeds / germplasm / breeds</x:v>
      </x:c>
      <x:c r="I232" s="26" t="str">
        <x:v>Not dedicated</x:v>
      </x:c>
      <x:c r="J232" s="26" t="str">
        <x:v>Active / operational</x:v>
      </x:c>
      <x:c r="K232" s="26" t="str">
        <x:v>High</x:v>
      </x:c>
      <x:c r="L232" s="26" t="str">
        <x:v>BPI-NSQCS and DA-PhilRice under RSIS</x:v>
      </x:c>
    </x:row>
    <x:row r="233" ht="42" customHeight="1">
      <x:c r="D233" s="26" t="str">
        <x:v>D2-106</x:v>
      </x:c>
      <x:c r="E233" s="26" t="str">
        <x:v>RSIS Warehouse Online System</x:v>
      </x:c>
      <x:c r="F233" s="26" t="str">
        <x:v>Primary</x:v>
      </x:c>
      <x:c r="G233" s="26" t="str">
        <x:v>Inputs, seed &amp; nutrient tools</x:v>
      </x:c>
      <x:c r="H233" s="26" t="str">
        <x:v>Rice / palay; Seeds / germplasm / breeds</x:v>
      </x:c>
      <x:c r="I233" s="26" t="str">
        <x:v>Not dedicated</x:v>
      </x:c>
      <x:c r="J233" s="26" t="str">
        <x:v>Active / operational</x:v>
      </x:c>
      <x:c r="K233" s="26" t="str">
        <x:v>High</x:v>
      </x:c>
      <x:c r="L233" s="26" t="str">
        <x:v>Department of Agriculture partners under RSIS</x:v>
      </x:c>
    </x:row>
    <x:row r="234" ht="42" customHeight="1">
      <x:c r="D234" s="26" t="str">
        <x:v>D2-106</x:v>
      </x:c>
      <x:c r="E234" s="26" t="str">
        <x:v>RSIS Warehouse Online System</x:v>
      </x:c>
      <x:c r="F234" s="26" t="str">
        <x:v>Secondary</x:v>
      </x:c>
      <x:c r="G234" s="26" t="str">
        <x:v>Data infrastructure, interoperability &amp; dashboards</x:v>
      </x:c>
      <x:c r="H234" s="26" t="str">
        <x:v>Rice / palay; Seeds / germplasm / breeds</x:v>
      </x:c>
      <x:c r="I234" s="26" t="str">
        <x:v>Not dedicated</x:v>
      </x:c>
      <x:c r="J234" s="26" t="str">
        <x:v>Active / operational</x:v>
      </x:c>
      <x:c r="K234" s="26" t="str">
        <x:v>High</x:v>
      </x:c>
      <x:c r="L234" s="26" t="str">
        <x:v>Department of Agriculture partners under RSIS</x:v>
      </x:c>
    </x:row>
    <x:row r="235" ht="42" customHeight="1">
      <x:c r="D235" s="26" t="str">
        <x:v>D2-107</x:v>
      </x:c>
      <x:c r="E235" s="26" t="str">
        <x:v>RSIS Online Seed Ordering System</x:v>
      </x:c>
      <x:c r="F235" s="26" t="str">
        <x:v>Primary</x:v>
      </x:c>
      <x:c r="G235" s="26" t="str">
        <x:v>Inputs, seed &amp; nutrient tools</x:v>
      </x:c>
      <x:c r="H235" s="26" t="str">
        <x:v>Rice / palay; Seeds / germplasm / breeds</x:v>
      </x:c>
      <x:c r="I235" s="26" t="str">
        <x:v>Not dedicated</x:v>
      </x:c>
      <x:c r="J235" s="26" t="str">
        <x:v>Active / operational</x:v>
      </x:c>
      <x:c r="K235" s="26" t="str">
        <x:v>High</x:v>
      </x:c>
      <x:c r="L235" s="26" t="str">
        <x:v>Department of Agriculture partners under RSIS</x:v>
      </x:c>
    </x:row>
    <x:row r="236" ht="42" customHeight="1">
      <x:c r="D236" s="26" t="str">
        <x:v>D2-107</x:v>
      </x:c>
      <x:c r="E236" s="26" t="str">
        <x:v>RSIS Online Seed Ordering System</x:v>
      </x:c>
      <x:c r="F236" s="26" t="str">
        <x:v>Secondary</x:v>
      </x:c>
      <x:c r="G236" s="26" t="str">
        <x:v>Markets, e-commerce &amp; logistics</x:v>
      </x:c>
      <x:c r="H236" s="26" t="str">
        <x:v>Rice / palay; Seeds / germplasm / breeds</x:v>
      </x:c>
      <x:c r="I236" s="26" t="str">
        <x:v>Not dedicated</x:v>
      </x:c>
      <x:c r="J236" s="26" t="str">
        <x:v>Active / operational</x:v>
      </x:c>
      <x:c r="K236" s="26" t="str">
        <x:v>High</x:v>
      </x:c>
      <x:c r="L236" s="26" t="str">
        <x:v>Department of Agriculture partners under RSIS</x:v>
      </x:c>
    </x:row>
    <x:row r="237" ht="42" customHeight="1">
      <x:c r="D237" s="26" t="str">
        <x:v>D2-108</x:v>
      </x:c>
      <x:c r="E237" s="26" t="str">
        <x:v>Rice Development Interventions Monitoring System</x:v>
      </x:c>
      <x:c r="F237" s="26" t="str">
        <x:v>Secondary</x:v>
      </x:c>
      <x:c r="G237" s="26" t="str">
        <x:v>Mechanization &amp; equipment-as-a-service</x:v>
      </x:c>
      <x:c r="H237" s="26" t="str">
        <x:v>Rice / palay</x:v>
      </x:c>
      <x:c r="I237" s="26" t="str">
        <x:v>Not dedicated</x:v>
      </x:c>
      <x:c r="J237" s="26" t="str">
        <x:v>Active / operational</x:v>
      </x:c>
      <x:c r="K237" s="26" t="str">
        <x:v>High</x:v>
      </x:c>
      <x:c r="L237" s="26" t="str">
        <x:v>DA-PhilRice / Department of Agriculture</x:v>
      </x:c>
    </x:row>
    <x:row r="238" ht="42" customHeight="1">
      <x:c r="D238" s="26" t="str">
        <x:v>D2-108</x:v>
      </x:c>
      <x:c r="E238" s="26" t="str">
        <x:v>Rice Development Interventions Monitoring System</x:v>
      </x:c>
      <x:c r="F238" s="26" t="str">
        <x:v>Secondary</x:v>
      </x:c>
      <x:c r="G238" s="26" t="str">
        <x:v>Finance, insurance &amp; payments</x:v>
      </x:c>
      <x:c r="H238" s="26" t="str">
        <x:v>Rice / palay</x:v>
      </x:c>
      <x:c r="I238" s="26" t="str">
        <x:v>Not dedicated</x:v>
      </x:c>
      <x:c r="J238" s="26" t="str">
        <x:v>Active / operational</x:v>
      </x:c>
      <x:c r="K238" s="26" t="str">
        <x:v>High</x:v>
      </x:c>
      <x:c r="L238" s="26" t="str">
        <x:v>DA-PhilRice / Department of Agriculture</x:v>
      </x:c>
    </x:row>
    <x:row r="239" ht="42" customHeight="1">
      <x:c r="D239" s="26" t="str">
        <x:v>D2-108</x:v>
      </x:c>
      <x:c r="E239" s="26" t="str">
        <x:v>Rice Development Interventions Monitoring System</x:v>
      </x:c>
      <x:c r="F239" s="26" t="str">
        <x:v>Primary</x:v>
      </x:c>
      <x:c r="G239" s="26" t="str">
        <x:v>Data infrastructure, interoperability &amp; dashboards</x:v>
      </x:c>
      <x:c r="H239" s="26" t="str">
        <x:v>Rice / palay</x:v>
      </x:c>
      <x:c r="I239" s="26" t="str">
        <x:v>Not dedicated</x:v>
      </x:c>
      <x:c r="J239" s="26" t="str">
        <x:v>Active / operational</x:v>
      </x:c>
      <x:c r="K239" s="26" t="str">
        <x:v>High</x:v>
      </x:c>
      <x:c r="L239" s="26" t="str">
        <x:v>DA-PhilRice / Department of Agriculture</x:v>
      </x:c>
    </x:row>
    <x:row r="240" ht="42" customHeight="1">
      <x:c r="D240" s="26" t="str">
        <x:v>D2-109</x:v>
      </x:c>
      <x:c r="E240" s="26" t="str">
        <x:v>Oryza GEMS / GeneLytics</x:v>
      </x:c>
      <x:c r="F240" s="26" t="str">
        <x:v>Secondary</x:v>
      </x:c>
      <x:c r="G240" s="26" t="str">
        <x:v>Inputs, seed &amp; nutrient tools</x:v>
      </x:c>
      <x:c r="H240" s="26" t="str">
        <x:v>Rice / palay; Seeds / germplasm / breeds</x:v>
      </x:c>
      <x:c r="I240" s="26" t="str">
        <x:v>Not dedicated</x:v>
      </x:c>
      <x:c r="J240" s="26" t="str">
        <x:v>Active / operational</x:v>
      </x:c>
      <x:c r="K240" s="26" t="str">
        <x:v>Medium</x:v>
      </x:c>
      <x:c r="L240" s="26" t="str">
        <x:v>DA-PhilRice and rice germplasm partners</x:v>
      </x:c>
    </x:row>
    <x:row r="241" ht="42" customHeight="1">
      <x:c r="D241" s="26" t="str">
        <x:v>D2-109</x:v>
      </x:c>
      <x:c r="E241" s="26" t="str">
        <x:v>Oryza GEMS / GeneLytics</x:v>
      </x:c>
      <x:c r="F241" s="26" t="str">
        <x:v>Primary</x:v>
      </x:c>
      <x:c r="G241" s="26" t="str">
        <x:v>Data infrastructure, interoperability &amp; dashboards</x:v>
      </x:c>
      <x:c r="H241" s="26" t="str">
        <x:v>Rice / palay; Seeds / germplasm / breeds</x:v>
      </x:c>
      <x:c r="I241" s="26" t="str">
        <x:v>Not dedicated</x:v>
      </x:c>
      <x:c r="J241" s="26" t="str">
        <x:v>Active / operational</x:v>
      </x:c>
      <x:c r="K241" s="26" t="str">
        <x:v>Medium</x:v>
      </x:c>
      <x:c r="L241" s="26" t="str">
        <x:v>DA-PhilRice and rice germplasm partners</x:v>
      </x:c>
    </x:row>
    <x:row r="242" ht="42" customHeight="1">
      <x:c r="D242" s="26" t="str">
        <x:v>D2-110</x:v>
      </x:c>
      <x:c r="E242" s="26" t="str">
        <x:v>Bantay Palay Mobile and SMS Price Advisory System</x:v>
      </x:c>
      <x:c r="F242" s="26" t="str">
        <x:v>Secondary</x:v>
      </x:c>
      <x:c r="G242" s="26" t="str">
        <x:v>Advisory &amp; e-extension</x:v>
      </x:c>
      <x:c r="H242" s="26" t="str">
        <x:v>Rice / palay</x:v>
      </x:c>
      <x:c r="I242" s="26" t="str">
        <x:v>Not dedicated</x:v>
      </x:c>
      <x:c r="J242" s="26" t="str">
        <x:v>Active / expanding</x:v>
      </x:c>
      <x:c r="K242" s="26" t="str">
        <x:v>High</x:v>
      </x:c>
      <x:c r="L242" s="26" t="str">
        <x:v>DA-PhilRice and National Food Authority</x:v>
      </x:c>
    </x:row>
    <x:row r="243" ht="42" customHeight="1">
      <x:c r="D243" s="26" t="str">
        <x:v>D2-110</x:v>
      </x:c>
      <x:c r="E243" s="26" t="str">
        <x:v>Bantay Palay Mobile and SMS Price Advisory System</x:v>
      </x:c>
      <x:c r="F243" s="26" t="str">
        <x:v>Primary</x:v>
      </x:c>
      <x:c r="G243" s="26" t="str">
        <x:v>Markets, e-commerce &amp; logistics</x:v>
      </x:c>
      <x:c r="H243" s="26" t="str">
        <x:v>Rice / palay</x:v>
      </x:c>
      <x:c r="I243" s="26" t="str">
        <x:v>Not dedicated</x:v>
      </x:c>
      <x:c r="J243" s="26" t="str">
        <x:v>Active / expanding</x:v>
      </x:c>
      <x:c r="K243" s="26" t="str">
        <x:v>High</x:v>
      </x:c>
      <x:c r="L243" s="26" t="str">
        <x:v>DA-PhilRice and National Food Authority</x:v>
      </x:c>
    </x:row>
    <x:row r="244" ht="42" customHeight="1">
      <x:c r="D244" s="26" t="str">
        <x:v>D2-111</x:v>
      </x:c>
      <x:c r="E244" s="26" t="str">
        <x:v>RiceLytics Mobile</x:v>
      </x:c>
      <x:c r="F244" s="26" t="str">
        <x:v>Secondary</x:v>
      </x:c>
      <x:c r="G244" s="26" t="str">
        <x:v>Advisory &amp; e-extension</x:v>
      </x:c>
      <x:c r="H244" s="26" t="str">
        <x:v>Rice / palay</x:v>
      </x:c>
      <x:c r="I244" s="26" t="str">
        <x:v>Not dedicated</x:v>
      </x:c>
      <x:c r="J244" s="26" t="str">
        <x:v>Active / operational</x:v>
      </x:c>
      <x:c r="K244" s="26" t="str">
        <x:v>Medium</x:v>
      </x:c>
      <x:c r="L244" s="26" t="str">
        <x:v>DA-PhilRice</x:v>
      </x:c>
    </x:row>
    <x:row r="245" ht="42" customHeight="1">
      <x:c r="D245" s="26" t="str">
        <x:v>D2-111</x:v>
      </x:c>
      <x:c r="E245" s="26" t="str">
        <x:v>RiceLytics Mobile</x:v>
      </x:c>
      <x:c r="F245" s="26" t="str">
        <x:v>Primary</x:v>
      </x:c>
      <x:c r="G245" s="26" t="str">
        <x:v>Data infrastructure, interoperability &amp; dashboards</x:v>
      </x:c>
      <x:c r="H245" s="26" t="str">
        <x:v>Rice / palay</x:v>
      </x:c>
      <x:c r="I245" s="26" t="str">
        <x:v>Not dedicated</x:v>
      </x:c>
      <x:c r="J245" s="26" t="str">
        <x:v>Active / operational</x:v>
      </x:c>
      <x:c r="K245" s="26" t="str">
        <x:v>Medium</x:v>
      </x:c>
      <x:c r="L245" s="26" t="str">
        <x:v>DA-PhilRice</x:v>
      </x:c>
    </x:row>
    <x:row r="246" ht="42" customHeight="1">
      <x:c r="D246" s="26" t="str">
        <x:v>D2-112</x:v>
      </x:c>
      <x:c r="E246" s="26" t="str">
        <x:v>Pal ai Rice Knowledge Assistant</x:v>
      </x:c>
      <x:c r="F246" s="26" t="str">
        <x:v>Primary</x:v>
      </x:c>
      <x:c r="G246" s="26" t="str">
        <x:v>Advisory &amp; e-extension</x:v>
      </x:c>
      <x:c r="H246" s="26" t="str">
        <x:v>Rice / palay</x:v>
      </x:c>
      <x:c r="I246" s="26" t="str">
        <x:v>Not dedicated</x:v>
      </x:c>
      <x:c r="J246" s="26" t="str">
        <x:v>Pilot / beta</x:v>
      </x:c>
      <x:c r="K246" s="26" t="str">
        <x:v>High</x:v>
      </x:c>
      <x:c r="L246" s="26" t="str">
        <x:v>DA-PhilRice</x:v>
      </x:c>
    </x:row>
    <x:row r="247" ht="42" customHeight="1">
      <x:c r="D247" s="26" t="str">
        <x:v>D2-113</x:v>
      </x:c>
      <x:c r="E247" s="26" t="str">
        <x:v>ePaalala Rice Advisory System</x:v>
      </x:c>
      <x:c r="F247" s="26" t="str">
        <x:v>Primary</x:v>
      </x:c>
      <x:c r="G247" s="26" t="str">
        <x:v>Advisory &amp; e-extension</x:v>
      </x:c>
      <x:c r="H247" s="26" t="str">
        <x:v>Rice / palay</x:v>
      </x:c>
      <x:c r="I247" s="26" t="str">
        <x:v>Not dedicated</x:v>
      </x:c>
      <x:c r="J247" s="26" t="str">
        <x:v>Status unverified</x:v>
      </x:c>
      <x:c r="K247" s="26" t="str">
        <x:v>Low</x:v>
      </x:c>
      <x:c r="L247" s="26" t="str">
        <x:v>DA-PhilRice</x:v>
      </x:c>
    </x:row>
    <x:row r="248" ht="42" customHeight="1">
      <x:c r="D248" s="26" t="str">
        <x:v>D2-113</x:v>
      </x:c>
      <x:c r="E248" s="26" t="str">
        <x:v>ePaalala Rice Advisory System</x:v>
      </x:c>
      <x:c r="F248" s="26" t="str">
        <x:v>Secondary</x:v>
      </x:c>
      <x:c r="G248" s="26" t="str">
        <x:v>Precision agriculture, EO, drones &amp; IoT</x:v>
      </x:c>
      <x:c r="H248" s="26" t="str">
        <x:v>Rice / palay</x:v>
      </x:c>
      <x:c r="I248" s="26" t="str">
        <x:v>Not dedicated</x:v>
      </x:c>
      <x:c r="J248" s="26" t="str">
        <x:v>Status unverified</x:v>
      </x:c>
      <x:c r="K248" s="26" t="str">
        <x:v>Low</x:v>
      </x:c>
      <x:c r="L248" s="26" t="str">
        <x:v>DA-PhilRice</x:v>
      </x:c>
    </x:row>
    <x:row r="249" ht="42" customHeight="1">
      <x:c r="D249" s="26" t="str">
        <x:v>D2-114</x:v>
      </x:c>
      <x:c r="E249" s="26" t="str">
        <x:v>PhilRice Text Center / INFOTXT and E-INFO</x:v>
      </x:c>
      <x:c r="F249" s="26" t="str">
        <x:v>Primary</x:v>
      </x:c>
      <x:c r="G249" s="26" t="str">
        <x:v>Advisory &amp; e-extension</x:v>
      </x:c>
      <x:c r="H249" s="26" t="str">
        <x:v>Rice / palay</x:v>
      </x:c>
      <x:c r="I249" s="26" t="str">
        <x:v>Not dedicated</x:v>
      </x:c>
      <x:c r="J249" s="26" t="str">
        <x:v>Active / status to be reconfirmed</x:v>
      </x:c>
      <x:c r="K249" s="26" t="str">
        <x:v>Medium</x:v>
      </x:c>
      <x:c r="L249" s="26" t="str">
        <x:v>DA-PhilRice</x:v>
      </x:c>
    </x:row>
    <x:row r="250" ht="42" customHeight="1">
      <x:c r="D250" s="26" t="str">
        <x:v>D2-115</x:v>
      </x:c>
      <x:c r="E250" s="26" t="str">
        <x:v>Open Academy for Philippine Agriculture</x:v>
      </x:c>
      <x:c r="F250" s="26" t="str">
        <x:v>Primary</x:v>
      </x:c>
      <x:c r="G250" s="26" t="str">
        <x:v>Advisory &amp; e-extension</x:v>
      </x:c>
      <x:c r="H250" s="26" t="str">
        <x:v>Rice / palay</x:v>
      </x:c>
      <x:c r="I250" s="26" t="str">
        <x:v>Not dedicated</x:v>
      </x:c>
      <x:c r="J250" s="26" t="str">
        <x:v>Legacy / current status unverified</x:v>
      </x:c>
      <x:c r="K250" s="26" t="str">
        <x:v>Low</x:v>
      </x:c>
      <x:c r="L250" s="26" t="str">
        <x:v>DA-PhilRice and partners</x:v>
      </x:c>
    </x:row>
    <x:row r="251" ht="42" customHeight="1">
      <x:c r="D251" s="26" t="str">
        <x:v>D2-115</x:v>
      </x:c>
      <x:c r="E251" s="26" t="str">
        <x:v>Open Academy for Philippine Agriculture</x:v>
      </x:c>
      <x:c r="F251" s="26" t="str">
        <x:v>Secondary</x:v>
      </x:c>
      <x:c r="G251" s="26" t="str">
        <x:v>Training, capacity &amp; innovation hubs</x:v>
      </x:c>
      <x:c r="H251" s="26" t="str">
        <x:v>Rice / palay</x:v>
      </x:c>
      <x:c r="I251" s="26" t="str">
        <x:v>Not dedicated</x:v>
      </x:c>
      <x:c r="J251" s="26" t="str">
        <x:v>Legacy / current status unverified</x:v>
      </x:c>
      <x:c r="K251" s="26" t="str">
        <x:v>Low</x:v>
      </x:c>
      <x:c r="L251" s="26" t="str">
        <x:v>DA-PhilRice and partners</x:v>
      </x:c>
    </x:row>
    <x:row r="252" ht="42" customHeight="1">
      <x:c r="D252" s="26" t="str">
        <x:v>D2-116</x:v>
      </x:c>
      <x:c r="E252" s="26" t="str">
        <x:v>PhilRice Statistical Laboratory Digital Data Service</x:v>
      </x:c>
      <x:c r="F252" s="26" t="str">
        <x:v>Primary</x:v>
      </x:c>
      <x:c r="G252" s="26" t="str">
        <x:v>Data infrastructure, interoperability &amp; dashboards</x:v>
      </x:c>
      <x:c r="H252" s="26" t="str">
        <x:v>Rice / palay</x:v>
      </x:c>
      <x:c r="I252" s="26" t="str">
        <x:v>Not dedicated</x:v>
      </x:c>
      <x:c r="J252" s="26" t="str">
        <x:v>Active / status to be reconfirmed</x:v>
      </x:c>
      <x:c r="K252" s="26" t="str">
        <x:v>Low</x:v>
      </x:c>
      <x:c r="L252" s="26" t="str">
        <x:v>DA-PhilRice</x:v>
      </x:c>
    </x:row>
    <x:row r="253" ht="42" customHeight="1">
      <x:c r="D253" s="26" t="str">
        <x:v>D2-117</x:v>
      </x:c>
      <x:c r="E253" s="26" t="str">
        <x:v>Bantay SARAi Agricultural Monitoring Platform</x:v>
      </x:c>
      <x:c r="F253" s="26" t="str">
        <x:v>Primary</x:v>
      </x:c>
      <x:c r="G253" s="26" t="str">
        <x:v>Farm management &amp; decision support</x:v>
      </x:c>
      <x:c r="H253" s="26" t="str">
        <x:v>Agriculture — general</x:v>
      </x:c>
      <x:c r="I253" s="26" t="str">
        <x:v>Not dedicated</x:v>
      </x:c>
      <x:c r="J253" s="26" t="str">
        <x:v>Active / status partly verified</x:v>
      </x:c>
      <x:c r="K253" s="26" t="str">
        <x:v>High</x:v>
      </x:c>
      <x:c r="L253" s="26" t="str">
        <x:v>UP Los Baños / Project SARAi / DOST-PCAARRD</x:v>
      </x:c>
    </x:row>
    <x:row r="254" ht="42" customHeight="1">
      <x:c r="D254" s="26" t="str">
        <x:v>D2-118</x:v>
      </x:c>
      <x:c r="E254" s="26" t="str">
        <x:v>Community-Level SARAi Enhanced Agricultural Monitoring System</x:v>
      </x:c>
      <x:c r="F254" s="26" t="str">
        <x:v>Secondary</x:v>
      </x:c>
      <x:c r="G254" s="26" t="str">
        <x:v>Climate, weather &amp; early warning</x:v>
      </x:c>
      <x:c r="H254" s="26" t="str">
        <x:v>Cross-sector</x:v>
      </x:c>
      <x:c r="I254" s="26" t="str">
        <x:v>Not dedicated</x:v>
      </x:c>
      <x:c r="J254" s="26" t="str">
        <x:v>Active / expanding</x:v>
      </x:c>
      <x:c r="K254" s="26" t="str">
        <x:v>High</x:v>
      </x:c>
      <x:c r="L254" s="26" t="str">
        <x:v>UP Los Baños / Project SARAi / DOST-PCAARRD</x:v>
      </x:c>
    </x:row>
    <x:row r="255" ht="42" customHeight="1">
      <x:c r="D255" s="26" t="str">
        <x:v>D2-118</x:v>
      </x:c>
      <x:c r="E255" s="26" t="str">
        <x:v>Community-Level SARAi Enhanced Agricultural Monitoring System</x:v>
      </x:c>
      <x:c r="F255" s="26" t="str">
        <x:v>Primary</x:v>
      </x:c>
      <x:c r="G255" s="26" t="str">
        <x:v>Precision agriculture, EO, drones &amp; IoT</x:v>
      </x:c>
      <x:c r="H255" s="26" t="str">
        <x:v>Cross-sector</x:v>
      </x:c>
      <x:c r="I255" s="26" t="str">
        <x:v>Not dedicated</x:v>
      </x:c>
      <x:c r="J255" s="26" t="str">
        <x:v>Active / expanding</x:v>
      </x:c>
      <x:c r="K255" s="26" t="str">
        <x:v>High</x:v>
      </x:c>
      <x:c r="L255" s="26" t="str">
        <x:v>UP Los Baños / Project SARAi / DOST-PCAARRD</x:v>
      </x:c>
    </x:row>
    <x:row r="256" ht="42" customHeight="1">
      <x:c r="D256" s="26" t="str">
        <x:v>D2-119</x:v>
      </x:c>
      <x:c r="E256" s="26" t="str">
        <x:v>Drought and Crop Assessment and Forecasting</x:v>
      </x:c>
      <x:c r="F256" s="26" t="str">
        <x:v>Primary</x:v>
      </x:c>
      <x:c r="G256" s="26" t="str">
        <x:v>Climate, weather &amp; early warning</x:v>
      </x:c>
      <x:c r="H256" s="26" t="str">
        <x:v>Rice / palay; Corn / maize</x:v>
      </x:c>
      <x:c r="I256" s="26" t="str">
        <x:v>Not dedicated</x:v>
      </x:c>
      <x:c r="J256" s="26" t="str">
        <x:v>Status unverified</x:v>
      </x:c>
      <x:c r="K256" s="26" t="str">
        <x:v>Medium</x:v>
      </x:c>
      <x:c r="L256" s="26" t="str">
        <x:v>UP Los Baños / Project SARAi / DOST-PCAARRD</x:v>
      </x:c>
    </x:row>
    <x:row r="257" ht="42" customHeight="1">
      <x:c r="D257" s="26" t="str">
        <x:v>D2-119</x:v>
      </x:c>
      <x:c r="E257" s="26" t="str">
        <x:v>Drought and Crop Assessment and Forecasting</x:v>
      </x:c>
      <x:c r="F257" s="26" t="str">
        <x:v>Secondary</x:v>
      </x:c>
      <x:c r="G257" s="26" t="str">
        <x:v>Precision agriculture, EO, drones &amp; IoT</x:v>
      </x:c>
      <x:c r="H257" s="26" t="str">
        <x:v>Rice / palay; Corn / maize</x:v>
      </x:c>
      <x:c r="I257" s="26" t="str">
        <x:v>Not dedicated</x:v>
      </x:c>
      <x:c r="J257" s="26" t="str">
        <x:v>Status unverified</x:v>
      </x:c>
      <x:c r="K257" s="26" t="str">
        <x:v>Medium</x:v>
      </x:c>
      <x:c r="L257" s="26" t="str">
        <x:v>UP Los Baños / Project SARAi / DOST-PCAARRD</x:v>
      </x:c>
    </x:row>
    <x:row r="258" ht="42" customHeight="1">
      <x:c r="D258" s="26" t="str">
        <x:v>D2-119</x:v>
      </x:c>
      <x:c r="E258" s="26" t="str">
        <x:v>Drought and Crop Assessment and Forecasting</x:v>
      </x:c>
      <x:c r="F258" s="26" t="str">
        <x:v>Secondary</x:v>
      </x:c>
      <x:c r="G258" s="26" t="str">
        <x:v>Data infrastructure, interoperability &amp; dashboards</x:v>
      </x:c>
      <x:c r="H258" s="26" t="str">
        <x:v>Rice / palay; Corn / maize</x:v>
      </x:c>
      <x:c r="I258" s="26" t="str">
        <x:v>Not dedicated</x:v>
      </x:c>
      <x:c r="J258" s="26" t="str">
        <x:v>Status unverified</x:v>
      </x:c>
      <x:c r="K258" s="26" t="str">
        <x:v>Medium</x:v>
      </x:c>
      <x:c r="L258" s="26" t="str">
        <x:v>UP Los Baños / Project SARAi / DOST-PCAARRD</x:v>
      </x:c>
    </x:row>
    <x:row r="259" ht="42" customHeight="1">
      <x:c r="D259" s="26" t="str">
        <x:v>D2-120</x:v>
      </x:c>
      <x:c r="E259" s="26" t="str">
        <x:v>Water Balance-Assisted Irrigation Scheduler System</x:v>
      </x:c>
      <x:c r="F259" s="26" t="str">
        <x:v>Secondary</x:v>
      </x:c>
      <x:c r="G259" s="26" t="str">
        <x:v>Advisory &amp; e-extension</x:v>
      </x:c>
      <x:c r="H259" s="26" t="str">
        <x:v>Cross-sector</x:v>
      </x:c>
      <x:c r="I259" s="26" t="str">
        <x:v>Not dedicated</x:v>
      </x:c>
      <x:c r="J259" s="26" t="str">
        <x:v>Status unverified</x:v>
      </x:c>
      <x:c r="K259" s="26" t="str">
        <x:v>High</x:v>
      </x:c>
      <x:c r="L259" s="26" t="str">
        <x:v>UP Los Baños / Project SARAi / DOST-PCAARRD</x:v>
      </x:c>
    </x:row>
    <x:row r="260" ht="42" customHeight="1">
      <x:c r="D260" s="26" t="str">
        <x:v>D2-120</x:v>
      </x:c>
      <x:c r="E260" s="26" t="str">
        <x:v>Water Balance-Assisted Irrigation Scheduler System</x:v>
      </x:c>
      <x:c r="F260" s="26" t="str">
        <x:v>Primary</x:v>
      </x:c>
      <x:c r="G260" s="26" t="str">
        <x:v>Farm management &amp; decision support</x:v>
      </x:c>
      <x:c r="H260" s="26" t="str">
        <x:v>Cross-sector</x:v>
      </x:c>
      <x:c r="I260" s="26" t="str">
        <x:v>Not dedicated</x:v>
      </x:c>
      <x:c r="J260" s="26" t="str">
        <x:v>Status unverified</x:v>
      </x:c>
      <x:c r="K260" s="26" t="str">
        <x:v>High</x:v>
      </x:c>
      <x:c r="L260" s="26" t="str">
        <x:v>UP Los Baños / Project SARAi / DOST-PCAARRD</x:v>
      </x:c>
    </x:row>
    <x:row r="261" ht="42" customHeight="1">
      <x:c r="D261" s="26" t="str">
        <x:v>D2-120</x:v>
      </x:c>
      <x:c r="E261" s="26" t="str">
        <x:v>Water Balance-Assisted Irrigation Scheduler System</x:v>
      </x:c>
      <x:c r="F261" s="26" t="str">
        <x:v>Secondary</x:v>
      </x:c>
      <x:c r="G261" s="26" t="str">
        <x:v>Climate, weather &amp; early warning</x:v>
      </x:c>
      <x:c r="H261" s="26" t="str">
        <x:v>Cross-sector</x:v>
      </x:c>
      <x:c r="I261" s="26" t="str">
        <x:v>Not dedicated</x:v>
      </x:c>
      <x:c r="J261" s="26" t="str">
        <x:v>Status unverified</x:v>
      </x:c>
      <x:c r="K261" s="26" t="str">
        <x:v>High</x:v>
      </x:c>
      <x:c r="L261" s="26" t="str">
        <x:v>UP Los Baños / Project SARAi / DOST-PCAARRD</x:v>
      </x:c>
    </x:row>
    <x:row r="262" ht="42" customHeight="1">
      <x:c r="D262" s="26" t="str">
        <x:v>D2-120</x:v>
      </x:c>
      <x:c r="E262" s="26" t="str">
        <x:v>Water Balance-Assisted Irrigation Scheduler System</x:v>
      </x:c>
      <x:c r="F262" s="26" t="str">
        <x:v>Secondary</x:v>
      </x:c>
      <x:c r="G262" s="26" t="str">
        <x:v>Precision agriculture, EO, drones &amp; IoT</x:v>
      </x:c>
      <x:c r="H262" s="26" t="str">
        <x:v>Cross-sector</x:v>
      </x:c>
      <x:c r="I262" s="26" t="str">
        <x:v>Not dedicated</x:v>
      </x:c>
      <x:c r="J262" s="26" t="str">
        <x:v>Status unverified</x:v>
      </x:c>
      <x:c r="K262" s="26" t="str">
        <x:v>High</x:v>
      </x:c>
      <x:c r="L262" s="26" t="str">
        <x:v>UP Los Baños / Project SARAi / DOST-PCAARRD</x:v>
      </x:c>
    </x:row>
    <x:row r="263" ht="42" customHeight="1">
      <x:c r="D263" s="26" t="str">
        <x:v>D2-121</x:v>
      </x:c>
      <x:c r="E263" s="26" t="str">
        <x:v>SARAi Automatic Weather and Soil Sensor Network</x:v>
      </x:c>
      <x:c r="F263" s="26" t="str">
        <x:v>Secondary</x:v>
      </x:c>
      <x:c r="G263" s="26" t="str">
        <x:v>Climate, weather &amp; early warning</x:v>
      </x:c>
      <x:c r="H263" s="26" t="str">
        <x:v>Cross-sector</x:v>
      </x:c>
      <x:c r="I263" s="26" t="str">
        <x:v>Not dedicated</x:v>
      </x:c>
      <x:c r="J263" s="26" t="str">
        <x:v>Status unverified</x:v>
      </x:c>
      <x:c r="K263" s="26" t="str">
        <x:v>High</x:v>
      </x:c>
      <x:c r="L263" s="26" t="str">
        <x:v>UP Los Baños / DOST-PCAARRD and regional partners</x:v>
      </x:c>
    </x:row>
    <x:row r="264" ht="42" customHeight="1">
      <x:c r="D264" s="26" t="str">
        <x:v>D2-121</x:v>
      </x:c>
      <x:c r="E264" s="26" t="str">
        <x:v>SARAi Automatic Weather and Soil Sensor Network</x:v>
      </x:c>
      <x:c r="F264" s="26" t="str">
        <x:v>Primary</x:v>
      </x:c>
      <x:c r="G264" s="26" t="str">
        <x:v>Precision agriculture, EO, drones &amp; IoT</x:v>
      </x:c>
      <x:c r="H264" s="26" t="str">
        <x:v>Cross-sector</x:v>
      </x:c>
      <x:c r="I264" s="26" t="str">
        <x:v>Not dedicated</x:v>
      </x:c>
      <x:c r="J264" s="26" t="str">
        <x:v>Status unverified</x:v>
      </x:c>
      <x:c r="K264" s="26" t="str">
        <x:v>High</x:v>
      </x:c>
      <x:c r="L264" s="26" t="str">
        <x:v>UP Los Baños / DOST-PCAARRD and regional partners</x:v>
      </x:c>
    </x:row>
    <x:row r="265" ht="42" customHeight="1">
      <x:c r="D265" s="26" t="str">
        <x:v>D2-121</x:v>
      </x:c>
      <x:c r="E265" s="26" t="str">
        <x:v>SARAi Automatic Weather and Soil Sensor Network</x:v>
      </x:c>
      <x:c r="F265" s="26" t="str">
        <x:v>Secondary</x:v>
      </x:c>
      <x:c r="G265" s="26" t="str">
        <x:v>Data infrastructure, interoperability &amp; dashboards</x:v>
      </x:c>
      <x:c r="H265" s="26" t="str">
        <x:v>Cross-sector</x:v>
      </x:c>
      <x:c r="I265" s="26" t="str">
        <x:v>Not dedicated</x:v>
      </x:c>
      <x:c r="J265" s="26" t="str">
        <x:v>Status unverified</x:v>
      </x:c>
      <x:c r="K265" s="26" t="str">
        <x:v>High</x:v>
      </x:c>
      <x:c r="L265" s="26" t="str">
        <x:v>UP Los Baños / DOST-PCAARRD and regional partners</x:v>
      </x:c>
    </x:row>
    <x:row r="266" ht="42" customHeight="1">
      <x:c r="D266" s="26" t="str">
        <x:v>D2-122</x:v>
      </x:c>
      <x:c r="E266" s="26" t="str">
        <x:v>SARAi Insect Pest and Disease Advisory System</x:v>
      </x:c>
      <x:c r="F266" s="26" t="str">
        <x:v>Secondary</x:v>
      </x:c>
      <x:c r="G266" s="26" t="str">
        <x:v>Advisory &amp; e-extension</x:v>
      </x:c>
      <x:c r="H266" s="26" t="str">
        <x:v>Corn / maize; Coconut; Banana; Coffee; Cacao; Sugarcane; Vegetables</x:v>
      </x:c>
      <x:c r="I266" s="26" t="str">
        <x:v>Not dedicated</x:v>
      </x:c>
      <x:c r="J266" s="26" t="str">
        <x:v>Status unverified</x:v>
      </x:c>
      <x:c r="K266" s="26" t="str">
        <x:v>High</x:v>
      </x:c>
      <x:c r="L266" s="26" t="str">
        <x:v>UP Los Baños / Project SARAi / DOST-PCAARRD</x:v>
      </x:c>
    </x:row>
    <x:row r="267" ht="42" customHeight="1">
      <x:c r="D267" s="26" t="str">
        <x:v>D2-122</x:v>
      </x:c>
      <x:c r="E267" s="26" t="str">
        <x:v>SARAi Insect Pest and Disease Advisory System</x:v>
      </x:c>
      <x:c r="F267" s="26" t="str">
        <x:v>Secondary</x:v>
      </x:c>
      <x:c r="G267" s="26" t="str">
        <x:v>Climate, weather &amp; early warning</x:v>
      </x:c>
      <x:c r="H267" s="26" t="str">
        <x:v>Corn / maize; Coconut; Banana; Coffee; Cacao; Sugarcane; Vegetables</x:v>
      </x:c>
      <x:c r="I267" s="26" t="str">
        <x:v>Not dedicated</x:v>
      </x:c>
      <x:c r="J267" s="26" t="str">
        <x:v>Status unverified</x:v>
      </x:c>
      <x:c r="K267" s="26" t="str">
        <x:v>High</x:v>
      </x:c>
      <x:c r="L267" s="26" t="str">
        <x:v>UP Los Baños / Project SARAi / DOST-PCAARRD</x:v>
      </x:c>
    </x:row>
    <x:row r="268" ht="42" customHeight="1">
      <x:c r="D268" s="26" t="str">
        <x:v>D2-122</x:v>
      </x:c>
      <x:c r="E268" s="26" t="str">
        <x:v>SARAi Insect Pest and Disease Advisory System</x:v>
      </x:c>
      <x:c r="F268" s="26" t="str">
        <x:v>Primary</x:v>
      </x:c>
      <x:c r="G268" s="26" t="str">
        <x:v>Pest, disease &amp; biosecurity</x:v>
      </x:c>
      <x:c r="H268" s="26" t="str">
        <x:v>Corn / maize; Coconut; Banana; Coffee; Cacao; Sugarcane; Vegetables</x:v>
      </x:c>
      <x:c r="I268" s="26" t="str">
        <x:v>Not dedicated</x:v>
      </x:c>
      <x:c r="J268" s="26" t="str">
        <x:v>Status unverified</x:v>
      </x:c>
      <x:c r="K268" s="26" t="str">
        <x:v>High</x:v>
      </x:c>
      <x:c r="L268" s="26" t="str">
        <x:v>UP Los Baños / Project SARAi / DOST-PCAARRD</x:v>
      </x:c>
    </x:row>
    <x:row r="269" ht="42" customHeight="1">
      <x:c r="D269" s="26" t="str">
        <x:v>D2-122</x:v>
      </x:c>
      <x:c r="E269" s="26" t="str">
        <x:v>SARAi Insect Pest and Disease Advisory System</x:v>
      </x:c>
      <x:c r="F269" s="26" t="str">
        <x:v>Secondary</x:v>
      </x:c>
      <x:c r="G269" s="26" t="str">
        <x:v>Data infrastructure, interoperability &amp; dashboards</x:v>
      </x:c>
      <x:c r="H269" s="26" t="str">
        <x:v>Corn / maize; Coconut; Banana; Coffee; Cacao; Sugarcane; Vegetables</x:v>
      </x:c>
      <x:c r="I269" s="26" t="str">
        <x:v>Not dedicated</x:v>
      </x:c>
      <x:c r="J269" s="26" t="str">
        <x:v>Status unverified</x:v>
      </x:c>
      <x:c r="K269" s="26" t="str">
        <x:v>High</x:v>
      </x:c>
      <x:c r="L269" s="26" t="str">
        <x:v>UP Los Baños / Project SARAi / DOST-PCAARRD</x:v>
      </x:c>
    </x:row>
    <x:row r="270" ht="42" customHeight="1">
      <x:c r="D270" s="26" t="str">
        <x:v>D2-123</x:v>
      </x:c>
      <x:c r="E270" s="26" t="str">
        <x:v>Coffee Automated Phenology and Harvest Estimator</x:v>
      </x:c>
      <x:c r="F270" s="26" t="str">
        <x:v>Secondary</x:v>
      </x:c>
      <x:c r="G270" s="26" t="str">
        <x:v>Advisory &amp; e-extension</x:v>
      </x:c>
      <x:c r="H270" s="26" t="str">
        <x:v>Coffee</x:v>
      </x:c>
      <x:c r="I270" s="26" t="str">
        <x:v>Not dedicated</x:v>
      </x:c>
      <x:c r="J270" s="26" t="str">
        <x:v>Status unverified</x:v>
      </x:c>
      <x:c r="K270" s="26" t="str">
        <x:v>Low</x:v>
      </x:c>
      <x:c r="L270" s="26" t="str">
        <x:v>UP Los Baños / Project SARAi / DOST-PCAARRD</x:v>
      </x:c>
    </x:row>
    <x:row r="271" ht="42" customHeight="1">
      <x:c r="D271" s="26" t="str">
        <x:v>D2-123</x:v>
      </x:c>
      <x:c r="E271" s="26" t="str">
        <x:v>Coffee Automated Phenology and Harvest Estimator</x:v>
      </x:c>
      <x:c r="F271" s="26" t="str">
        <x:v>Primary</x:v>
      </x:c>
      <x:c r="G271" s="26" t="str">
        <x:v>Farm management &amp; decision support</x:v>
      </x:c>
      <x:c r="H271" s="26" t="str">
        <x:v>Coffee</x:v>
      </x:c>
      <x:c r="I271" s="26" t="str">
        <x:v>Not dedicated</x:v>
      </x:c>
      <x:c r="J271" s="26" t="str">
        <x:v>Status unverified</x:v>
      </x:c>
      <x:c r="K271" s="26" t="str">
        <x:v>Low</x:v>
      </x:c>
      <x:c r="L271" s="26" t="str">
        <x:v>UP Los Baños / Project SARAi / DOST-PCAARRD</x:v>
      </x:c>
    </x:row>
    <x:row r="272" ht="42" customHeight="1">
      <x:c r="D272" s="26" t="str">
        <x:v>D2-123</x:v>
      </x:c>
      <x:c r="E272" s="26" t="str">
        <x:v>Coffee Automated Phenology and Harvest Estimator</x:v>
      </x:c>
      <x:c r="F272" s="26" t="str">
        <x:v>Secondary</x:v>
      </x:c>
      <x:c r="G272" s="26" t="str">
        <x:v>Precision agriculture, EO, drones &amp; IoT</x:v>
      </x:c>
      <x:c r="H272" s="26" t="str">
        <x:v>Coffee</x:v>
      </x:c>
      <x:c r="I272" s="26" t="str">
        <x:v>Not dedicated</x:v>
      </x:c>
      <x:c r="J272" s="26" t="str">
        <x:v>Status unverified</x:v>
      </x:c>
      <x:c r="K272" s="26" t="str">
        <x:v>Low</x:v>
      </x:c>
      <x:c r="L272" s="26" t="str">
        <x:v>UP Los Baños / Project SARAi / DOST-PCAARRD</x:v>
      </x:c>
    </x:row>
    <x:row r="273" ht="42" customHeight="1">
      <x:c r="D273" s="26" t="str">
        <x:v>D2-124</x:v>
      </x:c>
      <x:c r="E273" s="26" t="str">
        <x:v>Banana Harvest Estimation Tool</x:v>
      </x:c>
      <x:c r="F273" s="26" t="str">
        <x:v>Secondary</x:v>
      </x:c>
      <x:c r="G273" s="26" t="str">
        <x:v>Advisory &amp; e-extension</x:v>
      </x:c>
      <x:c r="H273" s="26" t="str">
        <x:v>Banana</x:v>
      </x:c>
      <x:c r="I273" s="26" t="str">
        <x:v>Not dedicated</x:v>
      </x:c>
      <x:c r="J273" s="26" t="str">
        <x:v>Status unverified</x:v>
      </x:c>
      <x:c r="K273" s="26" t="str">
        <x:v>Low</x:v>
      </x:c>
      <x:c r="L273" s="26" t="str">
        <x:v>UP Los Baños / Project SARAi / DOST-PCAARRD</x:v>
      </x:c>
    </x:row>
    <x:row r="274" ht="42" customHeight="1">
      <x:c r="D274" s="26" t="str">
        <x:v>D2-124</x:v>
      </x:c>
      <x:c r="E274" s="26" t="str">
        <x:v>Banana Harvest Estimation Tool</x:v>
      </x:c>
      <x:c r="F274" s="26" t="str">
        <x:v>Primary</x:v>
      </x:c>
      <x:c r="G274" s="26" t="str">
        <x:v>Farm management &amp; decision support</x:v>
      </x:c>
      <x:c r="H274" s="26" t="str">
        <x:v>Banana</x:v>
      </x:c>
      <x:c r="I274" s="26" t="str">
        <x:v>Not dedicated</x:v>
      </x:c>
      <x:c r="J274" s="26" t="str">
        <x:v>Status unverified</x:v>
      </x:c>
      <x:c r="K274" s="26" t="str">
        <x:v>Low</x:v>
      </x:c>
      <x:c r="L274" s="26" t="str">
        <x:v>UP Los Baños / Project SARAi / DOST-PCAARRD</x:v>
      </x:c>
    </x:row>
    <x:row r="275" ht="42" customHeight="1">
      <x:c r="D275" s="26" t="str">
        <x:v>D2-125</x:v>
      </x:c>
      <x:c r="E275" s="26" t="str">
        <x:v>Traco Cacao Traceability Application</x:v>
      </x:c>
      <x:c r="F275" s="26" t="str">
        <x:v>Secondary</x:v>
      </x:c>
      <x:c r="G275" s="26" t="str">
        <x:v>Markets, e-commerce &amp; logistics</x:v>
      </x:c>
      <x:c r="H275" s="26" t="str">
        <x:v>Rice / palay; Cacao</x:v>
      </x:c>
      <x:c r="I275" s="26" t="str">
        <x:v>Not dedicated</x:v>
      </x:c>
      <x:c r="J275" s="26" t="str">
        <x:v>Pilot / technology transfer</x:v>
      </x:c>
      <x:c r="K275" s="26" t="str">
        <x:v>High</x:v>
      </x:c>
      <x:c r="L275" s="26" t="str">
        <x:v>University of Southeastern Philippines / DOST-PCAARRD / BARBCO</x:v>
      </x:c>
    </x:row>
    <x:row r="276" ht="42" customHeight="1">
      <x:c r="D276" s="26" t="str">
        <x:v>D2-125</x:v>
      </x:c>
      <x:c r="E276" s="26" t="str">
        <x:v>Traco Cacao Traceability Application</x:v>
      </x:c>
      <x:c r="F276" s="26" t="str">
        <x:v>Primary</x:v>
      </x:c>
      <x:c r="G276" s="26" t="str">
        <x:v>Traceability, food safety &amp; MRV</x:v>
      </x:c>
      <x:c r="H276" s="26" t="str">
        <x:v>Rice / palay; Cacao</x:v>
      </x:c>
      <x:c r="I276" s="26" t="str">
        <x:v>Not dedicated</x:v>
      </x:c>
      <x:c r="J276" s="26" t="str">
        <x:v>Pilot / technology transfer</x:v>
      </x:c>
      <x:c r="K276" s="26" t="str">
        <x:v>High</x:v>
      </x:c>
      <x:c r="L276" s="26" t="str">
        <x:v>University of Southeastern Philippines / DOST-PCAARRD / BARBCO</x:v>
      </x:c>
    </x:row>
    <x:row r="277" ht="42" customHeight="1">
      <x:c r="D277" s="26" t="str">
        <x:v>D2-126</x:v>
      </x:c>
      <x:c r="E277" s="26" t="str">
        <x:v>TALA Isdaan Fishpond Lease Agreement Monitoring System</x:v>
      </x:c>
      <x:c r="F277" s="26" t="str">
        <x:v>Secondary</x:v>
      </x:c>
      <x:c r="G277" s="26" t="str">
        <x:v>Precision agriculture, EO, drones &amp; IoT</x:v>
      </x:c>
      <x:c r="H277" s="26" t="str">
        <x:v>Fisheries &amp; aquaculture</x:v>
      </x:c>
      <x:c r="I277" s="26" t="str">
        <x:v>Not dedicated</x:v>
      </x:c>
      <x:c r="J277" s="26" t="str">
        <x:v>Pilot / emerging</x:v>
      </x:c>
      <x:c r="K277" s="26" t="str">
        <x:v>High</x:v>
      </x:c>
      <x:c r="L277" s="26" t="str">
        <x:v>UP Los Baños / DOST-PCAARRD and fisheries partners</x:v>
      </x:c>
    </x:row>
    <x:row r="278" ht="42" customHeight="1">
      <x:c r="D278" s="26" t="str">
        <x:v>D2-126</x:v>
      </x:c>
      <x:c r="E278" s="26" t="str">
        <x:v>TALA Isdaan Fishpond Lease Agreement Monitoring System</x:v>
      </x:c>
      <x:c r="F278" s="26" t="str">
        <x:v>Primary</x:v>
      </x:c>
      <x:c r="G278" s="26" t="str">
        <x:v>Fisheries &amp; aquaculture</x:v>
      </x:c>
      <x:c r="H278" s="26" t="str">
        <x:v>Fisheries &amp; aquaculture</x:v>
      </x:c>
      <x:c r="I278" s="26" t="str">
        <x:v>Not dedicated</x:v>
      </x:c>
      <x:c r="J278" s="26" t="str">
        <x:v>Pilot / emerging</x:v>
      </x:c>
      <x:c r="K278" s="26" t="str">
        <x:v>High</x:v>
      </x:c>
      <x:c r="L278" s="26" t="str">
        <x:v>UP Los Baños / DOST-PCAARRD and fisheries partners</x:v>
      </x:c>
    </x:row>
    <x:row r="279" ht="42" customHeight="1">
      <x:c r="D279" s="26" t="str">
        <x:v>D2-127</x:v>
      </x:c>
      <x:c r="E279" s="26" t="str">
        <x:v>Pig Identification and Recording System</x:v>
      </x:c>
      <x:c r="F279" s="26" t="str">
        <x:v>Secondary</x:v>
      </x:c>
      <x:c r="G279" s="26" t="str">
        <x:v>Registry &amp; digital identity</x:v>
      </x:c>
      <x:c r="H279" s="26" t="str">
        <x:v>Swine / native pig</x:v>
      </x:c>
      <x:c r="I279" s="26" t="str">
        <x:v>Dedicated — swine/native pig</x:v>
      </x:c>
      <x:c r="J279" s="26" t="str">
        <x:v>Active / deployment</x:v>
      </x:c>
      <x:c r="K279" s="26" t="str">
        <x:v>High</x:v>
      </x:c>
      <x:c r="L279" s="26" t="str">
        <x:v>DA-Agricultural Training Institute – International Training Center on Pig Husbandry</x:v>
      </x:c>
    </x:row>
    <x:row r="280" ht="42" customHeight="1">
      <x:c r="D280" s="26" t="str">
        <x:v>D2-127</x:v>
      </x:c>
      <x:c r="E280" s="26" t="str">
        <x:v>Pig Identification and Recording System</x:v>
      </x:c>
      <x:c r="F280" s="26" t="str">
        <x:v>Primary</x:v>
      </x:c>
      <x:c r="G280" s="26" t="str">
        <x:v>Farm management &amp; decision support</x:v>
      </x:c>
      <x:c r="H280" s="26" t="str">
        <x:v>Swine / native pig</x:v>
      </x:c>
      <x:c r="I280" s="26" t="str">
        <x:v>Dedicated — swine/native pig</x:v>
      </x:c>
      <x:c r="J280" s="26" t="str">
        <x:v>Active / deployment</x:v>
      </x:c>
      <x:c r="K280" s="26" t="str">
        <x:v>High</x:v>
      </x:c>
      <x:c r="L280" s="26" t="str">
        <x:v>DA-Agricultural Training Institute – International Training Center on Pig Husbandry</x:v>
      </x:c>
    </x:row>
    <x:row r="281" ht="42" customHeight="1">
      <x:c r="D281" s="26" t="str">
        <x:v>D2-127</x:v>
      </x:c>
      <x:c r="E281" s="26" t="str">
        <x:v>Pig Identification and Recording System</x:v>
      </x:c>
      <x:c r="F281" s="26" t="str">
        <x:v>Secondary</x:v>
      </x:c>
      <x:c r="G281" s="26" t="str">
        <x:v>Data infrastructure, interoperability &amp; dashboards</x:v>
      </x:c>
      <x:c r="H281" s="26" t="str">
        <x:v>Swine / native pig</x:v>
      </x:c>
      <x:c r="I281" s="26" t="str">
        <x:v>Dedicated — swine/native pig</x:v>
      </x:c>
      <x:c r="J281" s="26" t="str">
        <x:v>Active / deployment</x:v>
      </x:c>
      <x:c r="K281" s="26" t="str">
        <x:v>High</x:v>
      </x:c>
      <x:c r="L281" s="26" t="str">
        <x:v>DA-Agricultural Training Institute – International Training Center on Pig Husbandry</x:v>
      </x:c>
    </x:row>
    <x:row r="282" ht="42" customHeight="1">
      <x:c r="D282" s="26" t="str">
        <x:v>D2-128</x:v>
      </x:c>
      <x:c r="E282" s="26" t="str">
        <x:v>Agri 360 Learning Sites Mapping Platform</x:v>
      </x:c>
      <x:c r="F282" s="26" t="str">
        <x:v>Secondary</x:v>
      </x:c>
      <x:c r="G282" s="26" t="str">
        <x:v>Registry &amp; digital identity</x:v>
      </x:c>
      <x:c r="H282" s="26" t="str">
        <x:v>Cross-sector</x:v>
      </x:c>
      <x:c r="I282" s="26" t="str">
        <x:v>Not dedicated</x:v>
      </x:c>
      <x:c r="J282" s="26" t="str">
        <x:v>Active / operational</x:v>
      </x:c>
      <x:c r="K282" s="26" t="str">
        <x:v>Medium</x:v>
      </x:c>
      <x:c r="L282" s="26" t="str">
        <x:v>DA-Agricultural Training Institute Region IV-A</x:v>
      </x:c>
    </x:row>
    <x:row r="283" ht="42" customHeight="1">
      <x:c r="D283" s="26" t="str">
        <x:v>D2-128</x:v>
      </x:c>
      <x:c r="E283" s="26" t="str">
        <x:v>Agri 360 Learning Sites Mapping Platform</x:v>
      </x:c>
      <x:c r="F283" s="26" t="str">
        <x:v>Secondary</x:v>
      </x:c>
      <x:c r="G283" s="26" t="str">
        <x:v>Advisory &amp; e-extension</x:v>
      </x:c>
      <x:c r="H283" s="26" t="str">
        <x:v>Cross-sector</x:v>
      </x:c>
      <x:c r="I283" s="26" t="str">
        <x:v>Not dedicated</x:v>
      </x:c>
      <x:c r="J283" s="26" t="str">
        <x:v>Active / operational</x:v>
      </x:c>
      <x:c r="K283" s="26" t="str">
        <x:v>Medium</x:v>
      </x:c>
      <x:c r="L283" s="26" t="str">
        <x:v>DA-Agricultural Training Institute Region IV-A</x:v>
      </x:c>
    </x:row>
    <x:row r="284" ht="42" customHeight="1">
      <x:c r="D284" s="26" t="str">
        <x:v>D2-128</x:v>
      </x:c>
      <x:c r="E284" s="26" t="str">
        <x:v>Agri 360 Learning Sites Mapping Platform</x:v>
      </x:c>
      <x:c r="F284" s="26" t="str">
        <x:v>Primary</x:v>
      </x:c>
      <x:c r="G284" s="26" t="str">
        <x:v>Training, capacity &amp; innovation hubs</x:v>
      </x:c>
      <x:c r="H284" s="26" t="str">
        <x:v>Cross-sector</x:v>
      </x:c>
      <x:c r="I284" s="26" t="str">
        <x:v>Not dedicated</x:v>
      </x:c>
      <x:c r="J284" s="26" t="str">
        <x:v>Active / operational</x:v>
      </x:c>
      <x:c r="K284" s="26" t="str">
        <x:v>Medium</x:v>
      </x:c>
      <x:c r="L284" s="26" t="str">
        <x:v>DA-Agricultural Training Institute Region IV-A</x:v>
      </x:c>
    </x:row>
    <x:row r="285" ht="42" customHeight="1">
      <x:c r="D285" s="26" t="str">
        <x:v>D2-129</x:v>
      </x:c>
      <x:c r="E285" s="26" t="str">
        <x:v>DOST-PCAARRD Agri-Aqua Business Hub</x:v>
      </x:c>
      <x:c r="F285" s="26" t="str">
        <x:v>Secondary</x:v>
      </x:c>
      <x:c r="G285" s="26" t="str">
        <x:v>Advisory &amp; e-extension</x:v>
      </x:c>
      <x:c r="H285" s="26" t="str">
        <x:v>Rice / palay; Vegetables</x:v>
      </x:c>
      <x:c r="I285" s="26" t="str">
        <x:v>Not dedicated</x:v>
      </x:c>
      <x:c r="J285" s="26" t="str">
        <x:v>Scaling / expansion planned</x:v>
      </x:c>
      <x:c r="K285" s="26" t="str">
        <x:v>Medium</x:v>
      </x:c>
      <x:c r="L285" s="26" t="str">
        <x:v>DOST-PCAARRD and regional partners</x:v>
      </x:c>
    </x:row>
    <x:row r="286" ht="42" customHeight="1">
      <x:c r="D286" s="26" t="str">
        <x:v>D2-129</x:v>
      </x:c>
      <x:c r="E286" s="26" t="str">
        <x:v>DOST-PCAARRD Agri-Aqua Business Hub</x:v>
      </x:c>
      <x:c r="F286" s="26" t="str">
        <x:v>Primary</x:v>
      </x:c>
      <x:c r="G286" s="26" t="str">
        <x:v>Markets, e-commerce &amp; logistics</x:v>
      </x:c>
      <x:c r="H286" s="26" t="str">
        <x:v>Rice / palay; Vegetables</x:v>
      </x:c>
      <x:c r="I286" s="26" t="str">
        <x:v>Not dedicated</x:v>
      </x:c>
      <x:c r="J286" s="26" t="str">
        <x:v>Scaling / expansion planned</x:v>
      </x:c>
      <x:c r="K286" s="26" t="str">
        <x:v>Medium</x:v>
      </x:c>
      <x:c r="L286" s="26" t="str">
        <x:v>DOST-PCAARRD and regional partners</x:v>
      </x:c>
    </x:row>
    <x:row r="287" ht="42" customHeight="1">
      <x:c r="D287" s="26" t="str">
        <x:v>D2-129</x:v>
      </x:c>
      <x:c r="E287" s="26" t="str">
        <x:v>DOST-PCAARRD Agri-Aqua Business Hub</x:v>
      </x:c>
      <x:c r="F287" s="26" t="str">
        <x:v>Secondary</x:v>
      </x:c>
      <x:c r="G287" s="26" t="str">
        <x:v>Data infrastructure, interoperability &amp; dashboards</x:v>
      </x:c>
      <x:c r="H287" s="26" t="str">
        <x:v>Rice / palay; Vegetables</x:v>
      </x:c>
      <x:c r="I287" s="26" t="str">
        <x:v>Not dedicated</x:v>
      </x:c>
      <x:c r="J287" s="26" t="str">
        <x:v>Scaling / expansion planned</x:v>
      </x:c>
      <x:c r="K287" s="26" t="str">
        <x:v>Medium</x:v>
      </x:c>
      <x:c r="L287" s="26" t="str">
        <x:v>DOST-PCAARRD and regional partners</x:v>
      </x:c>
    </x:row>
    <x:row r="288" ht="42" customHeight="1">
      <x:c r="D288" s="26" t="str">
        <x:v>D2-130</x:v>
      </x:c>
      <x:c r="E288" s="26" t="str">
        <x:v>Yield Analytics for AgriBusiness Optimization and Networking Guide</x:v>
      </x:c>
      <x:c r="F288" s="26" t="str">
        <x:v>Primary</x:v>
      </x:c>
      <x:c r="G288" s="26" t="str">
        <x:v>Farm management &amp; decision support</x:v>
      </x:c>
      <x:c r="H288" s="26" t="str">
        <x:v>Coffee</x:v>
      </x:c>
      <x:c r="I288" s="26" t="str">
        <x:v>Not dedicated</x:v>
      </x:c>
      <x:c r="J288" s="26" t="str">
        <x:v>Planned / not yet operational</x:v>
      </x:c>
      <x:c r="K288" s="26" t="str">
        <x:v>Medium</x:v>
      </x:c>
      <x:c r="L288" s="26" t="str">
        <x:v>DOST-PCAARRD and implementing research partners</x:v>
      </x:c>
    </x:row>
    <x:row r="289" ht="42" customHeight="1">
      <x:c r="D289" s="26" t="str">
        <x:v>D2-130</x:v>
      </x:c>
      <x:c r="E289" s="26" t="str">
        <x:v>Yield Analytics for AgriBusiness Optimization and Networking Guide</x:v>
      </x:c>
      <x:c r="F289" s="26" t="str">
        <x:v>Secondary</x:v>
      </x:c>
      <x:c r="G289" s="26" t="str">
        <x:v>Climate, weather &amp; early warning</x:v>
      </x:c>
      <x:c r="H289" s="26" t="str">
        <x:v>Coffee</x:v>
      </x:c>
      <x:c r="I289" s="26" t="str">
        <x:v>Not dedicated</x:v>
      </x:c>
      <x:c r="J289" s="26" t="str">
        <x:v>Planned / not yet operational</x:v>
      </x:c>
      <x:c r="K289" s="26" t="str">
        <x:v>Medium</x:v>
      </x:c>
      <x:c r="L289" s="26" t="str">
        <x:v>DOST-PCAARRD and implementing research partners</x:v>
      </x:c>
    </x:row>
    <x:row r="290" ht="42" customHeight="1">
      <x:c r="D290" s="26" t="str">
        <x:v>D2-130</x:v>
      </x:c>
      <x:c r="E290" s="26" t="str">
        <x:v>Yield Analytics for AgriBusiness Optimization and Networking Guide</x:v>
      </x:c>
      <x:c r="F290" s="26" t="str">
        <x:v>Secondary</x:v>
      </x:c>
      <x:c r="G290" s="26" t="str">
        <x:v>Data infrastructure, interoperability &amp; dashboards</x:v>
      </x:c>
      <x:c r="H290" s="26" t="str">
        <x:v>Coffee</x:v>
      </x:c>
      <x:c r="I290" s="26" t="str">
        <x:v>Not dedicated</x:v>
      </x:c>
      <x:c r="J290" s="26" t="str">
        <x:v>Planned / not yet operational</x:v>
      </x:c>
      <x:c r="K290" s="26" t="str">
        <x:v>Medium</x:v>
      </x:c>
      <x:c r="L290" s="26" t="str">
        <x:v>DOST-PCAARRD and implementing research partners</x:v>
      </x:c>
    </x:row>
    <x:row r="291" ht="42" customHeight="1">
      <x:c r="D291" s="26" t="str">
        <x:v>D2-131</x:v>
      </x:c>
      <x:c r="E291" s="26" t="str">
        <x:v>Intelligent Rubber Insect Pests and Disease Diagnostic</x:v>
      </x:c>
      <x:c r="F291" s="26" t="str">
        <x:v>Secondary</x:v>
      </x:c>
      <x:c r="G291" s="26" t="str">
        <x:v>Advisory &amp; e-extension</x:v>
      </x:c>
      <x:c r="H291" s="26" t="str">
        <x:v>Rubber</x:v>
      </x:c>
      <x:c r="I291" s="26" t="str">
        <x:v>Not dedicated</x:v>
      </x:c>
      <x:c r="J291" s="26" t="str">
        <x:v>Active / operational</x:v>
      </x:c>
      <x:c r="K291" s="26" t="str">
        <x:v>High</x:v>
      </x:c>
      <x:c r="L291" s="26" t="str">
        <x:v>Philippine Rubber Research Institute / DOST-PCAARRD and partners</x:v>
      </x:c>
    </x:row>
    <x:row r="292" ht="42" customHeight="1">
      <x:c r="D292" s="26" t="str">
        <x:v>D2-131</x:v>
      </x:c>
      <x:c r="E292" s="26" t="str">
        <x:v>Intelligent Rubber Insect Pests and Disease Diagnostic</x:v>
      </x:c>
      <x:c r="F292" s="26" t="str">
        <x:v>Primary</x:v>
      </x:c>
      <x:c r="G292" s="26" t="str">
        <x:v>Pest, disease &amp; biosecurity</x:v>
      </x:c>
      <x:c r="H292" s="26" t="str">
        <x:v>Rubber</x:v>
      </x:c>
      <x:c r="I292" s="26" t="str">
        <x:v>Not dedicated</x:v>
      </x:c>
      <x:c r="J292" s="26" t="str">
        <x:v>Active / operational</x:v>
      </x:c>
      <x:c r="K292" s="26" t="str">
        <x:v>High</x:v>
      </x:c>
      <x:c r="L292" s="26" t="str">
        <x:v>Philippine Rubber Research Institute / DOST-PCAARRD and partners</x:v>
      </x:c>
    </x:row>
    <x:row r="293" ht="42" customHeight="1">
      <x:c r="D293" s="26" t="str">
        <x:v>D2-131</x:v>
      </x:c>
      <x:c r="E293" s="26" t="str">
        <x:v>Intelligent Rubber Insect Pests and Disease Diagnostic</x:v>
      </x:c>
      <x:c r="F293" s="26" t="str">
        <x:v>Secondary</x:v>
      </x:c>
      <x:c r="G293" s="26" t="str">
        <x:v>Data infrastructure, interoperability &amp; dashboards</x:v>
      </x:c>
      <x:c r="H293" s="26" t="str">
        <x:v>Rubber</x:v>
      </x:c>
      <x:c r="I293" s="26" t="str">
        <x:v>Not dedicated</x:v>
      </x:c>
      <x:c r="J293" s="26" t="str">
        <x:v>Active / operational</x:v>
      </x:c>
      <x:c r="K293" s="26" t="str">
        <x:v>High</x:v>
      </x:c>
      <x:c r="L293" s="26" t="str">
        <x:v>Philippine Rubber Research Institute / DOST-PCAARRD and partners</x:v>
      </x:c>
    </x:row>
    <x:row r="294" ht="42" customHeight="1">
      <x:c r="D294" s="26" t="str">
        <x:v>D2-132</x:v>
      </x:c>
      <x:c r="E294" s="26" t="str">
        <x:v>Philippine Native Pig Breed Information System</x:v>
      </x:c>
      <x:c r="F294" s="26" t="str">
        <x:v>Secondary</x:v>
      </x:c>
      <x:c r="G294" s="26" t="str">
        <x:v>Registry &amp; digital identity</x:v>
      </x:c>
      <x:c r="H294" s="26" t="str">
        <x:v>Seeds / germplasm / breeds; Swine / native pig</x:v>
      </x:c>
      <x:c r="I294" s="26" t="str">
        <x:v>Dedicated — swine/native pig</x:v>
      </x:c>
      <x:c r="J294" s="26" t="str">
        <x:v>Active / operational</x:v>
      </x:c>
      <x:c r="K294" s="26" t="str">
        <x:v>High</x:v>
      </x:c>
      <x:c r="L294" s="26" t="str">
        <x:v>DOST-PCAARRD / UPLB Institute of Animal Science and Institute of Computer Science / institutional breeder farms</x:v>
      </x:c>
    </x:row>
    <x:row r="295" ht="42" customHeight="1">
      <x:c r="D295" s="26" t="str">
        <x:v>D2-132</x:v>
      </x:c>
      <x:c r="E295" s="26" t="str">
        <x:v>Philippine Native Pig Breed Information System</x:v>
      </x:c>
      <x:c r="F295" s="26" t="str">
        <x:v>Primary</x:v>
      </x:c>
      <x:c r="G295" s="26" t="str">
        <x:v>Farm management &amp; decision support</x:v>
      </x:c>
      <x:c r="H295" s="26" t="str">
        <x:v>Seeds / germplasm / breeds; Swine / native pig</x:v>
      </x:c>
      <x:c r="I295" s="26" t="str">
        <x:v>Dedicated — swine/native pig</x:v>
      </x:c>
      <x:c r="J295" s="26" t="str">
        <x:v>Active / operational</x:v>
      </x:c>
      <x:c r="K295" s="26" t="str">
        <x:v>High</x:v>
      </x:c>
      <x:c r="L295" s="26" t="str">
        <x:v>DOST-PCAARRD / UPLB Institute of Animal Science and Institute of Computer Science / institutional breeder farms</x:v>
      </x:c>
    </x:row>
    <x:row r="296" ht="42" customHeight="1">
      <x:c r="D296" s="26" t="str">
        <x:v>D2-132</x:v>
      </x:c>
      <x:c r="E296" s="26" t="str">
        <x:v>Philippine Native Pig Breed Information System</x:v>
      </x:c>
      <x:c r="F296" s="26" t="str">
        <x:v>Secondary</x:v>
      </x:c>
      <x:c r="G296" s="26" t="str">
        <x:v>Traceability, food safety &amp; MRV</x:v>
      </x:c>
      <x:c r="H296" s="26" t="str">
        <x:v>Seeds / germplasm / breeds; Swine / native pig</x:v>
      </x:c>
      <x:c r="I296" s="26" t="str">
        <x:v>Dedicated — swine/native pig</x:v>
      </x:c>
      <x:c r="J296" s="26" t="str">
        <x:v>Active / operational</x:v>
      </x:c>
      <x:c r="K296" s="26" t="str">
        <x:v>High</x:v>
      </x:c>
      <x:c r="L296" s="26" t="str">
        <x:v>DOST-PCAARRD / UPLB Institute of Animal Science and Institute of Computer Science / institutional breeder farms</x:v>
      </x:c>
    </x:row>
    <x:row r="297" ht="42" customHeight="1">
      <x:c r="D297" s="26" t="str">
        <x:v>D2-132</x:v>
      </x:c>
      <x:c r="E297" s="26" t="str">
        <x:v>Philippine Native Pig Breed Information System</x:v>
      </x:c>
      <x:c r="F297" s="26" t="str">
        <x:v>Secondary</x:v>
      </x:c>
      <x:c r="G297" s="26" t="str">
        <x:v>Data infrastructure, interoperability &amp; dashboards</x:v>
      </x:c>
      <x:c r="H297" s="26" t="str">
        <x:v>Seeds / germplasm / breeds; Swine / native pig</x:v>
      </x:c>
      <x:c r="I297" s="26" t="str">
        <x:v>Dedicated — swine/native pig</x:v>
      </x:c>
      <x:c r="J297" s="26" t="str">
        <x:v>Active / operational</x:v>
      </x:c>
      <x:c r="K297" s="26" t="str">
        <x:v>High</x:v>
      </x:c>
      <x:c r="L297" s="26" t="str">
        <x:v>DOST-PCAARRD / UPLB Institute of Animal Science and Institute of Computer Science / institutional breeder farms</x:v>
      </x:c>
    </x:row>
    <x:row r="298" ht="42" customHeight="1">
      <x:c r="D298" s="26" t="str">
        <x:v>D2-133</x:v>
      </x:c>
      <x:c r="E298" s="26" t="str">
        <x:v>Philippine Native Chicken and Itik PINAS Breed Information System</x:v>
      </x:c>
      <x:c r="F298" s="26" t="str">
        <x:v>Secondary</x:v>
      </x:c>
      <x:c r="G298" s="26" t="str">
        <x:v>Advisory &amp; e-extension</x:v>
      </x:c>
      <x:c r="H298" s="26" t="str">
        <x:v>Seeds / germplasm / breeds; Poultry / chicken / duck</x:v>
      </x:c>
      <x:c r="I298" s="26" t="str">
        <x:v>Dedicated — poultry/chicken/duck</x:v>
      </x:c>
      <x:c r="J298" s="26" t="str">
        <x:v>Active / operational</x:v>
      </x:c>
      <x:c r="K298" s="26" t="str">
        <x:v>High</x:v>
      </x:c>
      <x:c r="L298" s="26" t="str">
        <x:v>DOST-PCAARRD / UPLB Institute of Animal Science and Institute of Computer Science / partner breeding institutions</x:v>
      </x:c>
    </x:row>
    <x:row r="299" ht="42" customHeight="1">
      <x:c r="D299" s="26" t="str">
        <x:v>D2-133</x:v>
      </x:c>
      <x:c r="E299" s="26" t="str">
        <x:v>Philippine Native Chicken and Itik PINAS Breed Information System</x:v>
      </x:c>
      <x:c r="F299" s="26" t="str">
        <x:v>Secondary</x:v>
      </x:c>
      <x:c r="G299" s="26" t="str">
        <x:v>Inputs, seed &amp; nutrient tools</x:v>
      </x:c>
      <x:c r="H299" s="26" t="str">
        <x:v>Seeds / germplasm / breeds; Poultry / chicken / duck</x:v>
      </x:c>
      <x:c r="I299" s="26" t="str">
        <x:v>Dedicated — poultry/chicken/duck</x:v>
      </x:c>
      <x:c r="J299" s="26" t="str">
        <x:v>Active / operational</x:v>
      </x:c>
      <x:c r="K299" s="26" t="str">
        <x:v>High</x:v>
      </x:c>
      <x:c r="L299" s="26" t="str">
        <x:v>DOST-PCAARRD / UPLB Institute of Animal Science and Institute of Computer Science / partner breeding institutions</x:v>
      </x:c>
    </x:row>
    <x:row r="300" ht="42" customHeight="1">
      <x:c r="D300" s="26" t="str">
        <x:v>D2-133</x:v>
      </x:c>
      <x:c r="E300" s="26" t="str">
        <x:v>Philippine Native Chicken and Itik PINAS Breed Information System</x:v>
      </x:c>
      <x:c r="F300" s="26" t="str">
        <x:v>Primary</x:v>
      </x:c>
      <x:c r="G300" s="26" t="str">
        <x:v>Data infrastructure, interoperability &amp; dashboards</x:v>
      </x:c>
      <x:c r="H300" s="26" t="str">
        <x:v>Seeds / germplasm / breeds; Poultry / chicken / duck</x:v>
      </x:c>
      <x:c r="I300" s="26" t="str">
        <x:v>Dedicated — poultry/chicken/duck</x:v>
      </x:c>
      <x:c r="J300" s="26" t="str">
        <x:v>Active / operational</x:v>
      </x:c>
      <x:c r="K300" s="26" t="str">
        <x:v>High</x:v>
      </x:c>
      <x:c r="L300" s="26" t="str">
        <x:v>DOST-PCAARRD / UPLB Institute of Animal Science and Institute of Computer Science / partner breeding institutions</x:v>
      </x:c>
    </x:row>
    <x:row r="301" ht="42" customHeight="1">
      <x:c r="D301" s="26"/>
      <x:c r="E301" s="26"/>
      <x:c r="F301" s="26"/>
      <x:c r="G301" s="26"/>
      <x:c r="H301" s="26"/>
      <x:c r="I301" s="26"/>
      <x:c r="J301" s="26"/>
      <x:c r="K301" s="26"/>
      <x:c r="L301" s="26"/>
    </x:row>
    <x:row r="302" ht="42" customHeight="1">
      <x:c r="D302" s="26"/>
      <x:c r="E302" s="26"/>
      <x:c r="F302" s="26"/>
      <x:c r="G302" s="26"/>
      <x:c r="H302" s="26"/>
      <x:c r="I302" s="26"/>
      <x:c r="J302" s="26"/>
      <x:c r="K302" s="26"/>
      <x:c r="L302" s="26"/>
    </x:row>
    <x:row r="303" ht="42" customHeight="1">
      <x:c r="D303" s="26"/>
      <x:c r="E303" s="26"/>
      <x:c r="F303" s="26"/>
      <x:c r="G303" s="26"/>
      <x:c r="H303" s="26"/>
      <x:c r="I303" s="26"/>
      <x:c r="J303" s="26"/>
      <x:c r="K303" s="26"/>
      <x:c r="L303" s="26"/>
    </x:row>
    <x:row r="304" ht="42" customHeight="1">
      <x:c r="D304" s="26"/>
      <x:c r="E304" s="26"/>
      <x:c r="F304" s="26"/>
      <x:c r="G304" s="26"/>
      <x:c r="H304" s="26"/>
      <x:c r="I304" s="26"/>
      <x:c r="J304" s="26"/>
      <x:c r="K304" s="26"/>
      <x:c r="L304" s="26"/>
    </x:row>
    <x:row r="305" ht="42" customHeight="1">
      <x:c r="D305" s="26"/>
      <x:c r="E305" s="26"/>
      <x:c r="F305" s="26"/>
      <x:c r="G305" s="26"/>
      <x:c r="H305" s="26"/>
      <x:c r="I305" s="26"/>
      <x:c r="J305" s="26"/>
      <x:c r="K305" s="26"/>
      <x:c r="L305" s="26"/>
    </x:row>
    <x:row r="306" ht="42" customHeight="1">
      <x:c r="D306" s="26"/>
      <x:c r="E306" s="26"/>
      <x:c r="F306" s="26"/>
      <x:c r="G306" s="26"/>
      <x:c r="H306" s="26"/>
      <x:c r="I306" s="26"/>
      <x:c r="J306" s="26"/>
      <x:c r="K306" s="26"/>
      <x:c r="L306" s="26"/>
    </x:row>
    <x:row r="307" ht="42" customHeight="1">
      <x:c r="D307" s="26"/>
      <x:c r="E307" s="26"/>
      <x:c r="F307" s="26"/>
      <x:c r="G307" s="26"/>
      <x:c r="H307" s="26"/>
      <x:c r="I307" s="26"/>
      <x:c r="J307" s="26"/>
      <x:c r="K307" s="26"/>
      <x:c r="L307" s="26"/>
    </x:row>
    <x:row r="308" ht="42" customHeight="1">
      <x:c r="D308" s="26"/>
      <x:c r="E308" s="26"/>
      <x:c r="F308" s="26"/>
      <x:c r="G308" s="26"/>
      <x:c r="H308" s="26"/>
      <x:c r="I308" s="26"/>
      <x:c r="J308" s="26"/>
      <x:c r="K308" s="26"/>
      <x:c r="L308" s="26"/>
    </x:row>
    <x:row r="309" ht="42" customHeight="1">
      <x:c r="D309" s="26"/>
      <x:c r="E309" s="26"/>
      <x:c r="F309" s="26"/>
      <x:c r="G309" s="26"/>
      <x:c r="H309" s="26"/>
      <x:c r="I309" s="26"/>
      <x:c r="J309" s="26"/>
      <x:c r="K309" s="26"/>
      <x:c r="L309" s="26"/>
    </x:row>
    <x:row r="310" ht="42" customHeight="1">
      <x:c r="D310" s="26"/>
      <x:c r="E310" s="26"/>
      <x:c r="F310" s="26"/>
      <x:c r="G310" s="26"/>
      <x:c r="H310" s="26"/>
      <x:c r="I310" s="26"/>
      <x:c r="J310" s="26"/>
      <x:c r="K310" s="26"/>
      <x:c r="L310" s="26"/>
    </x:row>
    <x:row r="311" ht="42" customHeight="1">
      <x:c r="D311" s="26"/>
      <x:c r="E311" s="26"/>
      <x:c r="F311" s="26"/>
      <x:c r="G311" s="26"/>
      <x:c r="H311" s="26"/>
      <x:c r="I311" s="26"/>
      <x:c r="J311" s="26"/>
      <x:c r="K311" s="26"/>
      <x:c r="L311" s="26"/>
    </x:row>
    <x:row r="312" ht="42" customHeight="1">
      <x:c r="D312" s="26"/>
      <x:c r="E312" s="26"/>
      <x:c r="F312" s="26"/>
      <x:c r="G312" s="26"/>
      <x:c r="H312" s="26"/>
      <x:c r="I312" s="26"/>
      <x:c r="J312" s="26"/>
      <x:c r="K312" s="26"/>
      <x:c r="L312" s="26"/>
    </x:row>
    <x:row r="313" ht="42" customHeight="1">
      <x:c r="D313" s="26"/>
      <x:c r="E313" s="26"/>
      <x:c r="F313" s="26"/>
      <x:c r="G313" s="26"/>
      <x:c r="H313" s="26"/>
      <x:c r="I313" s="26"/>
      <x:c r="J313" s="26"/>
      <x:c r="K313" s="26"/>
      <x:c r="L313" s="26"/>
    </x:row>
    <x:row r="314" ht="42" customHeight="1">
      <x:c r="D314" s="26"/>
      <x:c r="E314" s="26"/>
      <x:c r="F314" s="26"/>
      <x:c r="G314" s="26"/>
      <x:c r="H314" s="26"/>
      <x:c r="I314" s="26"/>
      <x:c r="J314" s="26"/>
      <x:c r="K314" s="26"/>
      <x:c r="L314" s="26"/>
    </x:row>
    <x:row r="315" ht="42" customHeight="1">
      <x:c r="D315" s="26"/>
      <x:c r="E315" s="26"/>
      <x:c r="F315" s="26"/>
      <x:c r="G315" s="26"/>
      <x:c r="H315" s="26"/>
      <x:c r="I315" s="26"/>
      <x:c r="J315" s="26"/>
      <x:c r="K315" s="26"/>
      <x:c r="L315" s="26"/>
    </x:row>
    <x:row r="316" ht="42" customHeight="1">
      <x:c r="D316" s="26"/>
      <x:c r="E316" s="26"/>
      <x:c r="F316" s="26"/>
      <x:c r="G316" s="26"/>
      <x:c r="H316" s="26"/>
      <x:c r="I316" s="26"/>
      <x:c r="J316" s="26"/>
      <x:c r="K316" s="26"/>
      <x:c r="L316" s="26"/>
    </x:row>
    <x:row r="317" ht="42" customHeight="1">
      <x:c r="D317" s="26"/>
      <x:c r="E317" s="26"/>
      <x:c r="F317" s="26"/>
      <x:c r="G317" s="26"/>
      <x:c r="H317" s="26"/>
      <x:c r="I317" s="26"/>
      <x:c r="J317" s="26"/>
      <x:c r="K317" s="26"/>
      <x:c r="L317" s="26"/>
    </x:row>
    <x:row r="318" ht="42" customHeight="1">
      <x:c r="D318" s="26"/>
      <x:c r="E318" s="26"/>
      <x:c r="F318" s="26"/>
      <x:c r="G318" s="26"/>
      <x:c r="H318" s="26"/>
      <x:c r="I318" s="26"/>
      <x:c r="J318" s="26"/>
      <x:c r="K318" s="26"/>
      <x:c r="L318" s="26"/>
    </x:row>
    <x:row r="319" ht="42" customHeight="1">
      <x:c r="D319" s="26"/>
      <x:c r="E319" s="26"/>
      <x:c r="F319" s="26"/>
      <x:c r="G319" s="26"/>
      <x:c r="H319" s="26"/>
      <x:c r="I319" s="26"/>
      <x:c r="J319" s="26"/>
      <x:c r="K319" s="26"/>
      <x:c r="L319" s="26"/>
    </x:row>
    <x:row r="320" ht="42" customHeight="1">
      <x:c r="D320" s="26"/>
      <x:c r="E320" s="26"/>
      <x:c r="F320" s="26"/>
      <x:c r="G320" s="26"/>
      <x:c r="H320" s="26"/>
      <x:c r="I320" s="26"/>
      <x:c r="J320" s="26"/>
      <x:c r="K320" s="26"/>
      <x:c r="L320" s="26"/>
    </x:row>
    <x:row r="321" ht="42" customHeight="1">
      <x:c r="D321" s="26"/>
      <x:c r="E321" s="26"/>
      <x:c r="F321" s="26"/>
      <x:c r="G321" s="26"/>
      <x:c r="H321" s="26"/>
      <x:c r="I321" s="26"/>
      <x:c r="J321" s="26"/>
      <x:c r="K321" s="26"/>
      <x:c r="L321" s="26"/>
    </x:row>
    <x:row r="322" ht="42" customHeight="1">
      <x:c r="D322" s="26"/>
      <x:c r="E322" s="26"/>
      <x:c r="F322" s="26"/>
      <x:c r="G322" s="26"/>
      <x:c r="H322" s="26"/>
      <x:c r="I322" s="26"/>
      <x:c r="J322" s="26"/>
      <x:c r="K322" s="26"/>
      <x:c r="L322" s="26"/>
    </x:row>
    <x:row r="323" ht="42" customHeight="1">
      <x:c r="D323" s="26"/>
      <x:c r="E323" s="26"/>
      <x:c r="F323" s="26"/>
      <x:c r="G323" s="26"/>
      <x:c r="H323" s="26"/>
      <x:c r="I323" s="26"/>
      <x:c r="J323" s="26"/>
      <x:c r="K323" s="26"/>
      <x:c r="L323" s="26"/>
    </x:row>
    <x:row r="324" ht="42" customHeight="1">
      <x:c r="D324" s="26"/>
      <x:c r="E324" s="26"/>
      <x:c r="F324" s="26"/>
      <x:c r="G324" s="26"/>
      <x:c r="H324" s="26"/>
      <x:c r="I324" s="26"/>
      <x:c r="J324" s="26"/>
      <x:c r="K324" s="26"/>
      <x:c r="L324" s="26"/>
    </x:row>
    <x:row r="325" ht="42" customHeight="1">
      <x:c r="D325" s="26"/>
      <x:c r="E325" s="26"/>
      <x:c r="F325" s="26"/>
      <x:c r="G325" s="26"/>
      <x:c r="H325" s="26"/>
      <x:c r="I325" s="26"/>
      <x:c r="J325" s="26"/>
      <x:c r="K325" s="26"/>
      <x:c r="L325" s="26"/>
    </x:row>
    <x:row r="326" ht="42" customHeight="1">
      <x:c r="D326" s="26"/>
      <x:c r="E326" s="26"/>
      <x:c r="F326" s="26"/>
      <x:c r="G326" s="26"/>
      <x:c r="H326" s="26"/>
      <x:c r="I326" s="26"/>
      <x:c r="J326" s="26"/>
      <x:c r="K326" s="26"/>
      <x:c r="L326" s="26"/>
    </x:row>
    <x:row r="327" ht="42" customHeight="1">
      <x:c r="D327" s="26"/>
      <x:c r="E327" s="26"/>
      <x:c r="F327" s="26"/>
      <x:c r="G327" s="26"/>
      <x:c r="H327" s="26"/>
      <x:c r="I327" s="26"/>
      <x:c r="J327" s="26"/>
      <x:c r="K327" s="26"/>
      <x:c r="L327" s="26"/>
    </x:row>
    <x:row r="328" ht="42" customHeight="1">
      <x:c r="D328" s="26"/>
      <x:c r="E328" s="26"/>
      <x:c r="F328" s="26"/>
      <x:c r="G328" s="26"/>
      <x:c r="H328" s="26"/>
      <x:c r="I328" s="26"/>
      <x:c r="J328" s="26"/>
      <x:c r="K328" s="26"/>
      <x:c r="L328" s="26"/>
    </x:row>
    <x:row r="329" ht="42" customHeight="1">
      <x:c r="D329" s="26"/>
      <x:c r="E329" s="26"/>
      <x:c r="F329" s="26"/>
      <x:c r="G329" s="26"/>
      <x:c r="H329" s="26"/>
      <x:c r="I329" s="26"/>
      <x:c r="J329" s="26"/>
      <x:c r="K329" s="26"/>
      <x:c r="L329" s="26"/>
    </x:row>
    <x:row r="330" ht="42" customHeight="1">
      <x:c r="D330" s="26"/>
      <x:c r="E330" s="26"/>
      <x:c r="F330" s="26"/>
      <x:c r="G330" s="26"/>
      <x:c r="H330" s="26"/>
      <x:c r="I330" s="26"/>
      <x:c r="J330" s="26"/>
      <x:c r="K330" s="26"/>
      <x:c r="L330" s="26"/>
    </x:row>
    <x:row r="331" ht="42" customHeight="1">
      <x:c r="D331" s="26"/>
      <x:c r="E331" s="26"/>
      <x:c r="F331" s="26"/>
      <x:c r="G331" s="26"/>
      <x:c r="H331" s="26"/>
      <x:c r="I331" s="26"/>
      <x:c r="J331" s="26"/>
      <x:c r="K331" s="26"/>
      <x:c r="L331" s="26"/>
    </x:row>
    <x:row r="332" ht="42" customHeight="1">
      <x:c r="D332" s="26"/>
      <x:c r="E332" s="26"/>
      <x:c r="F332" s="26"/>
      <x:c r="G332" s="26"/>
      <x:c r="H332" s="26"/>
      <x:c r="I332" s="26"/>
      <x:c r="J332" s="26"/>
      <x:c r="K332" s="26"/>
      <x:c r="L332" s="26"/>
    </x:row>
    <x:row r="333" ht="42" customHeight="1">
      <x:c r="D333" s="26"/>
      <x:c r="E333" s="26"/>
      <x:c r="F333" s="26"/>
      <x:c r="G333" s="26"/>
      <x:c r="H333" s="26"/>
      <x:c r="I333" s="26"/>
      <x:c r="J333" s="26"/>
      <x:c r="K333" s="26"/>
      <x:c r="L333" s="26"/>
    </x:row>
    <x:row r="334" ht="42" customHeight="1">
      <x:c r="D334" s="26"/>
      <x:c r="E334" s="26"/>
      <x:c r="F334" s="26"/>
      <x:c r="G334" s="26"/>
      <x:c r="H334" s="26"/>
      <x:c r="I334" s="26"/>
      <x:c r="J334" s="26"/>
      <x:c r="K334" s="26"/>
      <x:c r="L334" s="26"/>
    </x:row>
    <x:row r="335" ht="42" customHeight="1">
      <x:c r="D335" s="26"/>
      <x:c r="E335" s="26"/>
      <x:c r="F335" s="26"/>
      <x:c r="G335" s="26"/>
      <x:c r="H335" s="26"/>
      <x:c r="I335" s="26"/>
      <x:c r="J335" s="26"/>
      <x:c r="K335" s="26"/>
      <x:c r="L335" s="26"/>
    </x:row>
    <x:row r="336" ht="42" customHeight="1">
      <x:c r="D336" s="26"/>
      <x:c r="E336" s="26"/>
      <x:c r="F336" s="26"/>
      <x:c r="G336" s="26"/>
      <x:c r="H336" s="26"/>
      <x:c r="I336" s="26"/>
      <x:c r="J336" s="26"/>
      <x:c r="K336" s="26"/>
      <x:c r="L336" s="26"/>
    </x:row>
    <x:row r="337" ht="42" customHeight="1">
      <x:c r="D337" s="26"/>
      <x:c r="E337" s="26"/>
      <x:c r="F337" s="26"/>
      <x:c r="G337" s="26"/>
      <x:c r="H337" s="26"/>
      <x:c r="I337" s="26"/>
      <x:c r="J337" s="26"/>
      <x:c r="K337" s="26"/>
      <x:c r="L337" s="26"/>
    </x:row>
    <x:row r="338" ht="42" customHeight="1">
      <x:c r="D338" s="26"/>
      <x:c r="E338" s="26"/>
      <x:c r="F338" s="26"/>
      <x:c r="G338" s="26"/>
      <x:c r="H338" s="26"/>
      <x:c r="I338" s="26"/>
      <x:c r="J338" s="26"/>
      <x:c r="K338" s="26"/>
      <x:c r="L338" s="26"/>
    </x:row>
    <x:row r="339" ht="42" customHeight="1">
      <x:c r="D339" s="26"/>
      <x:c r="E339" s="26"/>
      <x:c r="F339" s="26"/>
      <x:c r="G339" s="26"/>
      <x:c r="H339" s="26"/>
      <x:c r="I339" s="26"/>
      <x:c r="J339" s="26"/>
      <x:c r="K339" s="26"/>
      <x:c r="L339" s="26"/>
    </x:row>
    <x:row r="340" ht="42" customHeight="1">
      <x:c r="D340" s="26"/>
      <x:c r="E340" s="26"/>
      <x:c r="F340" s="26"/>
      <x:c r="G340" s="26"/>
      <x:c r="H340" s="26"/>
      <x:c r="I340" s="26"/>
      <x:c r="J340" s="26"/>
      <x:c r="K340" s="26"/>
      <x:c r="L340" s="26"/>
    </x:row>
    <x:row r="341" ht="42" customHeight="1">
      <x:c r="D341" s="26"/>
      <x:c r="E341" s="26"/>
      <x:c r="F341" s="26"/>
      <x:c r="G341" s="26"/>
      <x:c r="H341" s="26"/>
      <x:c r="I341" s="26"/>
      <x:c r="J341" s="26"/>
      <x:c r="K341" s="26"/>
      <x:c r="L341" s="26"/>
    </x:row>
    <x:row r="342" ht="42" customHeight="1">
      <x:c r="D342" s="26"/>
      <x:c r="E342" s="26"/>
      <x:c r="F342" s="26"/>
      <x:c r="G342" s="26"/>
      <x:c r="H342" s="26"/>
      <x:c r="I342" s="26"/>
      <x:c r="J342" s="26"/>
      <x:c r="K342" s="26"/>
      <x:c r="L342" s="26"/>
    </x:row>
    <x:row r="343" ht="42" customHeight="1">
      <x:c r="D343" s="26"/>
      <x:c r="E343" s="26"/>
      <x:c r="F343" s="26"/>
      <x:c r="G343" s="26"/>
      <x:c r="H343" s="26"/>
      <x:c r="I343" s="26"/>
      <x:c r="J343" s="26"/>
      <x:c r="K343" s="26"/>
      <x:c r="L343" s="26"/>
    </x:row>
    <x:row r="344" ht="42" customHeight="1">
      <x:c r="D344" s="26"/>
      <x:c r="E344" s="26"/>
      <x:c r="F344" s="26"/>
      <x:c r="G344" s="26"/>
      <x:c r="H344" s="26"/>
      <x:c r="I344" s="26"/>
      <x:c r="J344" s="26"/>
      <x:c r="K344" s="26"/>
      <x:c r="L344" s="26"/>
    </x:row>
    <x:row r="345" ht="42" customHeight="1">
      <x:c r="D345" s="26"/>
      <x:c r="E345" s="26"/>
      <x:c r="F345" s="26"/>
      <x:c r="G345" s="26"/>
      <x:c r="H345" s="26"/>
      <x:c r="I345" s="26"/>
      <x:c r="J345" s="26"/>
      <x:c r="K345" s="26"/>
      <x:c r="L345" s="26"/>
    </x:row>
    <x:row r="346" ht="42" customHeight="1">
      <x:c r="D346" s="26"/>
      <x:c r="E346" s="26"/>
      <x:c r="F346" s="26"/>
      <x:c r="G346" s="26"/>
      <x:c r="H346" s="26"/>
      <x:c r="I346" s="26"/>
      <x:c r="J346" s="26"/>
      <x:c r="K346" s="26"/>
      <x:c r="L346" s="26"/>
    </x:row>
    <x:row r="347" ht="42" customHeight="1">
      <x:c r="D347" s="26"/>
      <x:c r="E347" s="26"/>
      <x:c r="F347" s="26"/>
      <x:c r="G347" s="26"/>
      <x:c r="H347" s="26"/>
      <x:c r="I347" s="26"/>
      <x:c r="J347" s="26"/>
      <x:c r="K347" s="26"/>
      <x:c r="L347" s="26"/>
    </x:row>
    <x:row r="348" ht="42" customHeight="1">
      <x:c r="D348" s="26"/>
      <x:c r="E348" s="26"/>
      <x:c r="F348" s="26"/>
      <x:c r="G348" s="26"/>
      <x:c r="H348" s="26"/>
      <x:c r="I348" s="26"/>
      <x:c r="J348" s="26"/>
      <x:c r="K348" s="26"/>
      <x:c r="L348" s="26"/>
    </x:row>
    <x:row r="349" ht="42" customHeight="1">
      <x:c r="D349" s="26"/>
      <x:c r="E349" s="26"/>
      <x:c r="F349" s="26"/>
      <x:c r="G349" s="26"/>
      <x:c r="H349" s="26"/>
      <x:c r="I349" s="26"/>
      <x:c r="J349" s="26"/>
      <x:c r="K349" s="26"/>
      <x:c r="L349" s="26"/>
    </x:row>
    <x:row r="350" ht="42" customHeight="1">
      <x:c r="D350" s="26"/>
      <x:c r="E350" s="26"/>
      <x:c r="F350" s="26"/>
      <x:c r="G350" s="26"/>
      <x:c r="H350" s="26"/>
      <x:c r="I350" s="26"/>
      <x:c r="J350" s="26"/>
      <x:c r="K350" s="26"/>
      <x:c r="L350" s="26"/>
    </x:row>
    <x:row r="351" ht="42" customHeight="1">
      <x:c r="D351" s="26"/>
      <x:c r="E351" s="26"/>
      <x:c r="F351" s="26"/>
      <x:c r="G351" s="26"/>
      <x:c r="H351" s="26"/>
      <x:c r="I351" s="26"/>
      <x:c r="J351" s="26"/>
      <x:c r="K351" s="26"/>
      <x:c r="L351" s="26"/>
    </x:row>
    <x:row r="352" ht="42" customHeight="1">
      <x:c r="D352" s="26"/>
      <x:c r="E352" s="26"/>
      <x:c r="F352" s="26"/>
      <x:c r="G352" s="26"/>
      <x:c r="H352" s="26"/>
      <x:c r="I352" s="26"/>
      <x:c r="J352" s="26"/>
      <x:c r="K352" s="26"/>
      <x:c r="L352" s="26"/>
    </x:row>
    <x:row r="353" ht="42" customHeight="1">
      <x:c r="D353" s="26"/>
      <x:c r="E353" s="26"/>
      <x:c r="F353" s="26"/>
      <x:c r="G353" s="26"/>
      <x:c r="H353" s="26"/>
      <x:c r="I353" s="26"/>
      <x:c r="J353" s="26"/>
      <x:c r="K353" s="26"/>
      <x:c r="L353" s="26"/>
    </x:row>
    <x:row r="354" ht="42" customHeight="1">
      <x:c r="D354" s="26"/>
      <x:c r="E354" s="26"/>
      <x:c r="F354" s="26"/>
      <x:c r="G354" s="26"/>
      <x:c r="H354" s="26"/>
      <x:c r="I354" s="26"/>
      <x:c r="J354" s="26"/>
      <x:c r="K354" s="26"/>
      <x:c r="L354" s="26"/>
    </x:row>
    <x:row r="355" ht="42" customHeight="1">
      <x:c r="D355" s="26"/>
      <x:c r="E355" s="26"/>
      <x:c r="F355" s="26"/>
      <x:c r="G355" s="26"/>
      <x:c r="H355" s="26"/>
      <x:c r="I355" s="26"/>
      <x:c r="J355" s="26"/>
      <x:c r="K355" s="26"/>
      <x:c r="L355" s="26"/>
    </x:row>
    <x:row r="356" ht="42" customHeight="1">
      <x:c r="D356" s="26"/>
      <x:c r="E356" s="26"/>
      <x:c r="F356" s="26"/>
      <x:c r="G356" s="26"/>
      <x:c r="H356" s="26"/>
      <x:c r="I356" s="26"/>
      <x:c r="J356" s="26"/>
      <x:c r="K356" s="26"/>
      <x:c r="L356" s="26"/>
    </x:row>
    <x:row r="357" ht="42" customHeight="1">
      <x:c r="D357" s="26"/>
      <x:c r="E357" s="26"/>
      <x:c r="F357" s="26"/>
      <x:c r="G357" s="26"/>
      <x:c r="H357" s="26"/>
      <x:c r="I357" s="26"/>
      <x:c r="J357" s="26"/>
      <x:c r="K357" s="26"/>
      <x:c r="L357" s="26"/>
    </x:row>
    <x:row r="358" ht="42" customHeight="1">
      <x:c r="D358" s="26"/>
      <x:c r="E358" s="26"/>
      <x:c r="F358" s="26"/>
      <x:c r="G358" s="26"/>
      <x:c r="H358" s="26"/>
      <x:c r="I358" s="26"/>
      <x:c r="J358" s="26"/>
      <x:c r="K358" s="26"/>
      <x:c r="L358" s="26"/>
    </x:row>
    <x:row r="359" ht="42" customHeight="1">
      <x:c r="D359" s="26"/>
      <x:c r="E359" s="26"/>
      <x:c r="F359" s="26"/>
      <x:c r="G359" s="26"/>
      <x:c r="H359" s="26"/>
      <x:c r="I359" s="26"/>
      <x:c r="J359" s="26"/>
      <x:c r="K359" s="26"/>
      <x:c r="L359" s="26"/>
    </x:row>
    <x:row r="360" ht="42" customHeight="1">
      <x:c r="D360" s="26"/>
      <x:c r="E360" s="26"/>
      <x:c r="F360" s="26"/>
      <x:c r="G360" s="26"/>
      <x:c r="H360" s="26"/>
      <x:c r="I360" s="26"/>
      <x:c r="J360" s="26"/>
      <x:c r="K360" s="26"/>
      <x:c r="L360" s="26"/>
    </x:row>
    <x:row r="361" ht="42" customHeight="1">
      <x:c r="D361" s="26"/>
      <x:c r="E361" s="26"/>
      <x:c r="F361" s="26"/>
      <x:c r="G361" s="26"/>
      <x:c r="H361" s="26"/>
      <x:c r="I361" s="26"/>
      <x:c r="J361" s="26"/>
      <x:c r="K361" s="26"/>
      <x:c r="L361" s="26"/>
    </x:row>
    <x:row r="362" ht="42" customHeight="1">
      <x:c r="D362" s="26"/>
      <x:c r="E362" s="26"/>
      <x:c r="F362" s="26"/>
      <x:c r="G362" s="26"/>
      <x:c r="H362" s="26"/>
      <x:c r="I362" s="26"/>
      <x:c r="J362" s="26"/>
      <x:c r="K362" s="26"/>
      <x:c r="L362" s="26"/>
    </x:row>
    <x:row r="363" ht="42" customHeight="1">
      <x:c r="D363" s="26"/>
      <x:c r="E363" s="26"/>
      <x:c r="F363" s="26"/>
      <x:c r="G363" s="26"/>
      <x:c r="H363" s="26"/>
      <x:c r="I363" s="26"/>
      <x:c r="J363" s="26"/>
      <x:c r="K363" s="26"/>
      <x:c r="L363" s="26"/>
    </x:row>
    <x:row r="364" ht="42" customHeight="1">
      <x:c r="D364" s="26"/>
      <x:c r="E364" s="26"/>
      <x:c r="F364" s="26"/>
      <x:c r="G364" s="26"/>
      <x:c r="H364" s="26"/>
      <x:c r="I364" s="26"/>
      <x:c r="J364" s="26"/>
      <x:c r="K364" s="26"/>
      <x:c r="L364" s="26"/>
    </x:row>
    <x:row r="365" ht="42" customHeight="1">
      <x:c r="D365" s="26"/>
      <x:c r="E365" s="26"/>
      <x:c r="F365" s="26"/>
      <x:c r="G365" s="26"/>
      <x:c r="H365" s="26"/>
      <x:c r="I365" s="26"/>
      <x:c r="J365" s="26"/>
      <x:c r="K365" s="26"/>
      <x:c r="L365" s="26"/>
    </x:row>
    <x:row r="366" ht="42" customHeight="1">
      <x:c r="D366" s="26"/>
      <x:c r="E366" s="26"/>
      <x:c r="F366" s="26"/>
      <x:c r="G366" s="26"/>
      <x:c r="H366" s="26"/>
      <x:c r="I366" s="26"/>
      <x:c r="J366" s="26"/>
      <x:c r="K366" s="26"/>
      <x:c r="L366" s="26"/>
    </x:row>
    <x:row r="367" ht="42" customHeight="1">
      <x:c r="D367" s="26"/>
      <x:c r="E367" s="26"/>
      <x:c r="F367" s="26"/>
      <x:c r="G367" s="26"/>
      <x:c r="H367" s="26"/>
      <x:c r="I367" s="26"/>
      <x:c r="J367" s="26"/>
      <x:c r="K367" s="26"/>
      <x:c r="L367" s="26"/>
    </x:row>
    <x:row r="368" ht="42" customHeight="1">
      <x:c r="D368" s="26"/>
      <x:c r="E368" s="26"/>
      <x:c r="F368" s="26"/>
      <x:c r="G368" s="26"/>
      <x:c r="H368" s="26"/>
      <x:c r="I368" s="26"/>
      <x:c r="J368" s="26"/>
      <x:c r="K368" s="26"/>
      <x:c r="L368" s="26"/>
    </x:row>
    <x:row r="369" ht="42" customHeight="1">
      <x:c r="D369" s="26"/>
      <x:c r="E369" s="26"/>
      <x:c r="F369" s="26"/>
      <x:c r="G369" s="26"/>
      <x:c r="H369" s="26"/>
      <x:c r="I369" s="26"/>
      <x:c r="J369" s="26"/>
      <x:c r="K369" s="26"/>
      <x:c r="L369" s="26"/>
    </x:row>
    <x:row r="370" ht="42" customHeight="1">
      <x:c r="D370" s="26"/>
      <x:c r="E370" s="26"/>
      <x:c r="F370" s="26"/>
      <x:c r="G370" s="26"/>
      <x:c r="H370" s="26"/>
      <x:c r="I370" s="26"/>
      <x:c r="J370" s="26"/>
      <x:c r="K370" s="26"/>
      <x:c r="L370" s="26"/>
    </x:row>
    <x:row r="371" ht="42" customHeight="1">
      <x:c r="D371" s="26"/>
      <x:c r="E371" s="26"/>
      <x:c r="F371" s="26"/>
      <x:c r="G371" s="26"/>
      <x:c r="H371" s="26"/>
      <x:c r="I371" s="26"/>
      <x:c r="J371" s="26"/>
      <x:c r="K371" s="26"/>
      <x:c r="L371" s="26"/>
    </x:row>
    <x:row r="372" ht="42" customHeight="1">
      <x:c r="D372" s="26"/>
      <x:c r="E372" s="26"/>
      <x:c r="F372" s="26"/>
      <x:c r="G372" s="26"/>
      <x:c r="H372" s="26"/>
      <x:c r="I372" s="26"/>
      <x:c r="J372" s="26"/>
      <x:c r="K372" s="26"/>
      <x:c r="L372" s="26"/>
    </x:row>
    <x:row r="373" ht="42" customHeight="1">
      <x:c r="D373" s="26"/>
      <x:c r="E373" s="26"/>
      <x:c r="F373" s="26"/>
      <x:c r="G373" s="26"/>
      <x:c r="H373" s="26"/>
      <x:c r="I373" s="26"/>
      <x:c r="J373" s="26"/>
      <x:c r="K373" s="26"/>
      <x:c r="L373" s="26"/>
    </x:row>
    <x:row r="374" ht="42" customHeight="1">
      <x:c r="D374" s="26"/>
      <x:c r="E374" s="26"/>
      <x:c r="F374" s="26"/>
      <x:c r="G374" s="26"/>
      <x:c r="H374" s="26"/>
      <x:c r="I374" s="26"/>
      <x:c r="J374" s="26"/>
      <x:c r="K374" s="26"/>
      <x:c r="L374" s="26"/>
    </x:row>
    <x:row r="375" ht="42" customHeight="1">
      <x:c r="D375" s="26"/>
      <x:c r="E375" s="26"/>
      <x:c r="F375" s="26"/>
      <x:c r="G375" s="26"/>
      <x:c r="H375" s="26"/>
      <x:c r="I375" s="26"/>
      <x:c r="J375" s="26"/>
      <x:c r="K375" s="26"/>
      <x:c r="L375" s="26"/>
    </x:row>
    <x:row r="376" ht="42" customHeight="1">
      <x:c r="D376" s="26"/>
      <x:c r="E376" s="26"/>
      <x:c r="F376" s="26"/>
      <x:c r="G376" s="26"/>
      <x:c r="H376" s="26"/>
      <x:c r="I376" s="26"/>
      <x:c r="J376" s="26"/>
      <x:c r="K376" s="26"/>
      <x:c r="L376" s="26"/>
    </x:row>
    <x:row r="377" ht="42" customHeight="1">
      <x:c r="D377" s="26"/>
      <x:c r="E377" s="26"/>
      <x:c r="F377" s="26"/>
      <x:c r="G377" s="26"/>
      <x:c r="H377" s="26"/>
      <x:c r="I377" s="26"/>
      <x:c r="J377" s="26"/>
      <x:c r="K377" s="26"/>
      <x:c r="L377" s="26"/>
    </x:row>
    <x:row r="378" ht="42" customHeight="1">
      <x:c r="D378" s="26"/>
      <x:c r="E378" s="26"/>
      <x:c r="F378" s="26"/>
      <x:c r="G378" s="26"/>
      <x:c r="H378" s="26"/>
      <x:c r="I378" s="26"/>
      <x:c r="J378" s="26"/>
      <x:c r="K378" s="26"/>
      <x:c r="L378" s="26"/>
    </x:row>
    <x:row r="379" ht="42" customHeight="1">
      <x:c r="D379" s="26"/>
      <x:c r="E379" s="26"/>
      <x:c r="F379" s="26"/>
      <x:c r="G379" s="26"/>
      <x:c r="H379" s="26"/>
      <x:c r="I379" s="26"/>
      <x:c r="J379" s="26"/>
      <x:c r="K379" s="26"/>
      <x:c r="L379" s="26"/>
    </x:row>
    <x:row r="380" ht="42" customHeight="1">
      <x:c r="D380" s="26"/>
      <x:c r="E380" s="26"/>
      <x:c r="F380" s="26"/>
      <x:c r="G380" s="26"/>
      <x:c r="H380" s="26"/>
      <x:c r="I380" s="26"/>
      <x:c r="J380" s="26"/>
      <x:c r="K380" s="26"/>
      <x:c r="L380" s="26"/>
    </x:row>
    <x:row r="381" ht="42" customHeight="1">
      <x:c r="D381" s="26"/>
      <x:c r="E381" s="26"/>
      <x:c r="F381" s="26"/>
      <x:c r="G381" s="26"/>
      <x:c r="H381" s="26"/>
      <x:c r="I381" s="26"/>
      <x:c r="J381" s="26"/>
      <x:c r="K381" s="26"/>
      <x:c r="L381" s="26"/>
    </x:row>
    <x:row r="382" ht="42" customHeight="1">
      <x:c r="D382" s="26"/>
      <x:c r="E382" s="26"/>
      <x:c r="F382" s="26"/>
      <x:c r="G382" s="26"/>
      <x:c r="H382" s="26"/>
      <x:c r="I382" s="26"/>
      <x:c r="J382" s="26"/>
      <x:c r="K382" s="26"/>
      <x:c r="L382" s="26"/>
    </x:row>
    <x:row r="383" ht="42" customHeight="1">
      <x:c r="D383" s="26"/>
      <x:c r="E383" s="26"/>
      <x:c r="F383" s="26"/>
      <x:c r="G383" s="26"/>
      <x:c r="H383" s="26"/>
      <x:c r="I383" s="26"/>
      <x:c r="J383" s="26"/>
      <x:c r="K383" s="26"/>
      <x:c r="L383" s="26"/>
    </x:row>
    <x:row r="384" ht="42" customHeight="1">
      <x:c r="D384" s="26"/>
      <x:c r="E384" s="26"/>
      <x:c r="F384" s="26"/>
      <x:c r="G384" s="26"/>
      <x:c r="H384" s="26"/>
      <x:c r="I384" s="26"/>
      <x:c r="J384" s="26"/>
      <x:c r="K384" s="26"/>
      <x:c r="L384" s="26"/>
    </x:row>
    <x:row r="385" ht="42" customHeight="1">
      <x:c r="D385" s="26"/>
      <x:c r="E385" s="26"/>
      <x:c r="F385" s="26"/>
      <x:c r="G385" s="26"/>
      <x:c r="H385" s="26"/>
      <x:c r="I385" s="26"/>
      <x:c r="J385" s="26"/>
      <x:c r="K385" s="26"/>
      <x:c r="L385" s="26"/>
    </x:row>
    <x:row r="386" ht="42" customHeight="1">
      <x:c r="D386" s="26"/>
      <x:c r="E386" s="26"/>
      <x:c r="F386" s="26"/>
      <x:c r="G386" s="26"/>
      <x:c r="H386" s="26"/>
      <x:c r="I386" s="26"/>
      <x:c r="J386" s="26"/>
      <x:c r="K386" s="26"/>
      <x:c r="L386" s="26"/>
    </x:row>
    <x:row r="387" ht="42" customHeight="1">
      <x:c r="D387" s="26"/>
      <x:c r="E387" s="26"/>
      <x:c r="F387" s="26"/>
      <x:c r="G387" s="26"/>
      <x:c r="H387" s="26"/>
      <x:c r="I387" s="26"/>
      <x:c r="J387" s="26"/>
      <x:c r="K387" s="26"/>
      <x:c r="L387" s="26"/>
    </x:row>
    <x:row r="388" ht="42" customHeight="1">
      <x:c r="D388" s="26"/>
      <x:c r="E388" s="26"/>
      <x:c r="F388" s="26"/>
      <x:c r="G388" s="26"/>
      <x:c r="H388" s="26"/>
      <x:c r="I388" s="26"/>
      <x:c r="J388" s="26"/>
      <x:c r="K388" s="26"/>
      <x:c r="L388" s="26"/>
    </x:row>
    <x:row r="389" ht="42" customHeight="1">
      <x:c r="D389" s="26"/>
      <x:c r="E389" s="26"/>
      <x:c r="F389" s="26"/>
      <x:c r="G389" s="26"/>
      <x:c r="H389" s="26"/>
      <x:c r="I389" s="26"/>
      <x:c r="J389" s="26"/>
      <x:c r="K389" s="26"/>
      <x:c r="L389" s="26"/>
    </x:row>
    <x:row r="390" ht="42" customHeight="1">
      <x:c r="D390" s="26"/>
      <x:c r="E390" s="26"/>
      <x:c r="F390" s="26"/>
      <x:c r="G390" s="26"/>
      <x:c r="H390" s="26"/>
      <x:c r="I390" s="26"/>
      <x:c r="J390" s="26"/>
      <x:c r="K390" s="26"/>
      <x:c r="L390" s="26"/>
    </x:row>
    <x:row r="391" ht="42" customHeight="1">
      <x:c r="D391" s="26"/>
      <x:c r="E391" s="26"/>
      <x:c r="F391" s="26"/>
      <x:c r="G391" s="26"/>
      <x:c r="H391" s="26"/>
      <x:c r="I391" s="26"/>
      <x:c r="J391" s="26"/>
      <x:c r="K391" s="26"/>
      <x:c r="L391" s="26"/>
    </x:row>
    <x:row r="392" ht="42" customHeight="1">
      <x:c r="D392" s="26"/>
      <x:c r="E392" s="26"/>
      <x:c r="F392" s="26"/>
      <x:c r="G392" s="26"/>
      <x:c r="H392" s="26"/>
      <x:c r="I392" s="26"/>
      <x:c r="J392" s="26"/>
      <x:c r="K392" s="26"/>
      <x:c r="L392" s="26"/>
    </x:row>
    <x:row r="393" ht="42" customHeight="1">
      <x:c r="D393" s="26"/>
      <x:c r="E393" s="26"/>
      <x:c r="F393" s="26"/>
      <x:c r="G393" s="26"/>
      <x:c r="H393" s="26"/>
      <x:c r="I393" s="26"/>
      <x:c r="J393" s="26"/>
      <x:c r="K393" s="26"/>
      <x:c r="L393" s="26"/>
    </x:row>
    <x:row r="394" ht="42" customHeight="1">
      <x:c r="D394" s="26"/>
      <x:c r="E394" s="26"/>
      <x:c r="F394" s="26"/>
      <x:c r="G394" s="26"/>
      <x:c r="H394" s="26"/>
      <x:c r="I394" s="26"/>
      <x:c r="J394" s="26"/>
      <x:c r="K394" s="26"/>
      <x:c r="L394" s="26"/>
    </x:row>
    <x:row r="395" ht="42" customHeight="1">
      <x:c r="D395" s="26"/>
      <x:c r="E395" s="26"/>
      <x:c r="F395" s="26"/>
      <x:c r="G395" s="26"/>
      <x:c r="H395" s="26"/>
      <x:c r="I395" s="26"/>
      <x:c r="J395" s="26"/>
      <x:c r="K395" s="26"/>
      <x:c r="L395" s="26"/>
    </x:row>
    <x:row r="396" ht="42" customHeight="1">
      <x:c r="D396" s="26"/>
      <x:c r="E396" s="26"/>
      <x:c r="F396" s="26"/>
      <x:c r="G396" s="26"/>
      <x:c r="H396" s="26"/>
      <x:c r="I396" s="26"/>
      <x:c r="J396" s="26"/>
      <x:c r="K396" s="26"/>
      <x:c r="L396" s="26"/>
    </x:row>
    <x:row r="397" ht="42" customHeight="1">
      <x:c r="D397" s="26"/>
      <x:c r="E397" s="26"/>
      <x:c r="F397" s="26"/>
      <x:c r="G397" s="26"/>
      <x:c r="H397" s="26"/>
      <x:c r="I397" s="26"/>
      <x:c r="J397" s="26"/>
      <x:c r="K397" s="26"/>
      <x:c r="L397" s="26"/>
    </x:row>
    <x:row r="398" ht="42" customHeight="1">
      <x:c r="D398" s="26"/>
      <x:c r="E398" s="26"/>
      <x:c r="F398" s="26"/>
      <x:c r="G398" s="26"/>
      <x:c r="H398" s="26"/>
      <x:c r="I398" s="26"/>
      <x:c r="J398" s="26"/>
      <x:c r="K398" s="26"/>
      <x:c r="L398" s="26"/>
    </x:row>
    <x:row r="399" ht="42" customHeight="1">
      <x:c r="D399" s="26"/>
      <x:c r="E399" s="26"/>
      <x:c r="F399" s="26"/>
      <x:c r="G399" s="26"/>
      <x:c r="H399" s="26"/>
      <x:c r="I399" s="26"/>
      <x:c r="J399" s="26"/>
      <x:c r="K399" s="26"/>
      <x:c r="L399" s="26"/>
    </x:row>
    <x:row r="400" ht="42" customHeight="1">
      <x:c r="D400" s="26"/>
      <x:c r="E400" s="26"/>
      <x:c r="F400" s="26"/>
      <x:c r="G400" s="26"/>
      <x:c r="H400" s="26"/>
      <x:c r="I400" s="26"/>
      <x:c r="J400" s="26"/>
      <x:c r="K400" s="26"/>
      <x:c r="L400" s="26"/>
    </x:row>
    <x:row r="401" ht="42" customHeight="1">
      <x:c r="D401" s="26"/>
      <x:c r="E401" s="26"/>
      <x:c r="F401" s="26"/>
      <x:c r="G401" s="26"/>
      <x:c r="H401" s="26"/>
      <x:c r="I401" s="26"/>
      <x:c r="J401" s="26"/>
      <x:c r="K401" s="26"/>
      <x:c r="L401" s="26"/>
    </x:row>
    <x:row r="402" ht="42" customHeight="1">
      <x:c r="D402" s="26"/>
      <x:c r="E402" s="26"/>
      <x:c r="F402" s="26"/>
      <x:c r="G402" s="26"/>
      <x:c r="H402" s="26"/>
      <x:c r="I402" s="26"/>
      <x:c r="J402" s="26"/>
      <x:c r="K402" s="26"/>
      <x:c r="L402" s="26"/>
    </x:row>
    <x:row r="403" ht="42" customHeight="1">
      <x:c r="D403" s="26"/>
      <x:c r="E403" s="26"/>
      <x:c r="F403" s="26"/>
      <x:c r="G403" s="26"/>
      <x:c r="H403" s="26"/>
      <x:c r="I403" s="26"/>
      <x:c r="J403" s="26"/>
      <x:c r="K403" s="26"/>
      <x:c r="L403" s="26"/>
    </x:row>
    <x:row r="404" ht="42" customHeight="1">
      <x:c r="D404" s="26"/>
      <x:c r="E404" s="26"/>
      <x:c r="F404" s="26"/>
      <x:c r="G404" s="26"/>
      <x:c r="H404" s="26"/>
      <x:c r="I404" s="26"/>
      <x:c r="J404" s="26"/>
      <x:c r="K404" s="26"/>
      <x:c r="L404" s="26"/>
    </x:row>
    <x:row r="405" ht="42" customHeight="1">
      <x:c r="D405" s="26"/>
      <x:c r="E405" s="26"/>
      <x:c r="F405" s="26"/>
      <x:c r="G405" s="26"/>
      <x:c r="H405" s="26"/>
      <x:c r="I405" s="26"/>
      <x:c r="J405" s="26"/>
      <x:c r="K405" s="26"/>
      <x:c r="L405" s="26"/>
    </x:row>
    <x:row r="406" ht="42" customHeight="1">
      <x:c r="D406" s="26"/>
      <x:c r="E406" s="26"/>
      <x:c r="F406" s="26"/>
      <x:c r="G406" s="26"/>
      <x:c r="H406" s="26"/>
      <x:c r="I406" s="26"/>
      <x:c r="J406" s="26"/>
      <x:c r="K406" s="26"/>
      <x:c r="L406" s="26"/>
    </x:row>
    <x:row r="407" ht="42" customHeight="1">
      <x:c r="D407" s="26"/>
      <x:c r="E407" s="26"/>
      <x:c r="F407" s="26"/>
      <x:c r="G407" s="26"/>
      <x:c r="H407" s="26"/>
      <x:c r="I407" s="26"/>
      <x:c r="J407" s="26"/>
      <x:c r="K407" s="26"/>
      <x:c r="L407" s="26"/>
    </x:row>
    <x:row r="408" ht="42" customHeight="1">
      <x:c r="D408" s="26"/>
      <x:c r="E408" s="26"/>
      <x:c r="F408" s="26"/>
      <x:c r="G408" s="26"/>
      <x:c r="H408" s="26"/>
      <x:c r="I408" s="26"/>
      <x:c r="J408" s="26"/>
      <x:c r="K408" s="26"/>
      <x:c r="L408" s="26"/>
    </x:row>
    <x:row r="409" ht="42" customHeight="1">
      <x:c r="D409" s="26"/>
      <x:c r="E409" s="26"/>
      <x:c r="F409" s="26"/>
      <x:c r="G409" s="26"/>
      <x:c r="H409" s="26"/>
      <x:c r="I409" s="26"/>
      <x:c r="J409" s="26"/>
      <x:c r="K409" s="26"/>
      <x:c r="L409" s="26"/>
    </x:row>
    <x:row r="410" ht="42" customHeight="1">
      <x:c r="D410" s="26"/>
      <x:c r="E410" s="26"/>
      <x:c r="F410" s="26"/>
      <x:c r="G410" s="26"/>
      <x:c r="H410" s="26"/>
      <x:c r="I410" s="26"/>
      <x:c r="J410" s="26"/>
      <x:c r="K410" s="26"/>
      <x:c r="L410" s="26"/>
    </x:row>
    <x:row r="411" ht="42" customHeight="1">
      <x:c r="D411" s="26"/>
      <x:c r="E411" s="26"/>
      <x:c r="F411" s="26"/>
      <x:c r="G411" s="26"/>
      <x:c r="H411" s="26"/>
      <x:c r="I411" s="26"/>
      <x:c r="J411" s="26"/>
      <x:c r="K411" s="26"/>
      <x:c r="L411" s="26"/>
    </x:row>
    <x:row r="412" ht="42" customHeight="1">
      <x:c r="D412" s="26"/>
      <x:c r="E412" s="26"/>
      <x:c r="F412" s="26"/>
      <x:c r="G412" s="26"/>
      <x:c r="H412" s="26"/>
      <x:c r="I412" s="26"/>
      <x:c r="J412" s="26"/>
      <x:c r="K412" s="26"/>
      <x:c r="L412" s="26"/>
    </x:row>
    <x:row r="413" ht="42" customHeight="1">
      <x:c r="D413" s="26"/>
      <x:c r="E413" s="26"/>
      <x:c r="F413" s="26"/>
      <x:c r="G413" s="26"/>
      <x:c r="H413" s="26"/>
      <x:c r="I413" s="26"/>
      <x:c r="J413" s="26"/>
      <x:c r="K413" s="26"/>
      <x:c r="L413" s="26"/>
    </x:row>
    <x:row r="414" ht="42" customHeight="1">
      <x:c r="D414" s="26"/>
      <x:c r="E414" s="26"/>
      <x:c r="F414" s="26"/>
      <x:c r="G414" s="26"/>
      <x:c r="H414" s="26"/>
      <x:c r="I414" s="26"/>
      <x:c r="J414" s="26"/>
      <x:c r="K414" s="26"/>
      <x:c r="L414" s="26"/>
    </x:row>
    <x:row r="415" ht="42" customHeight="1">
      <x:c r="D415" s="26"/>
      <x:c r="E415" s="26"/>
      <x:c r="F415" s="26"/>
      <x:c r="G415" s="26"/>
      <x:c r="H415" s="26"/>
      <x:c r="I415" s="26"/>
      <x:c r="J415" s="26"/>
      <x:c r="K415" s="26"/>
      <x:c r="L415" s="26"/>
    </x:row>
    <x:row r="416" ht="42" customHeight="1">
      <x:c r="D416" s="26"/>
      <x:c r="E416" s="26"/>
      <x:c r="F416" s="26"/>
      <x:c r="G416" s="26"/>
      <x:c r="H416" s="26"/>
      <x:c r="I416" s="26"/>
      <x:c r="J416" s="26"/>
      <x:c r="K416" s="26"/>
      <x:c r="L416" s="26"/>
    </x:row>
    <x:row r="417" ht="42" customHeight="1">
      <x:c r="D417" s="26"/>
      <x:c r="E417" s="26"/>
      <x:c r="F417" s="26"/>
      <x:c r="G417" s="26"/>
      <x:c r="H417" s="26"/>
      <x:c r="I417" s="26"/>
      <x:c r="J417" s="26"/>
      <x:c r="K417" s="26"/>
      <x:c r="L417" s="26"/>
    </x:row>
    <x:row r="418" ht="42" customHeight="1">
      <x:c r="D418" s="26"/>
      <x:c r="E418" s="26"/>
      <x:c r="F418" s="26"/>
      <x:c r="G418" s="26"/>
      <x:c r="H418" s="26"/>
      <x:c r="I418" s="26"/>
      <x:c r="J418" s="26"/>
      <x:c r="K418" s="26"/>
      <x:c r="L418" s="26"/>
    </x:row>
    <x:row r="419" ht="42" customHeight="1">
      <x:c r="D419" s="26"/>
      <x:c r="E419" s="26"/>
      <x:c r="F419" s="26"/>
      <x:c r="G419" s="26"/>
      <x:c r="H419" s="26"/>
      <x:c r="I419" s="26"/>
      <x:c r="J419" s="26"/>
      <x:c r="K419" s="26"/>
      <x:c r="L419" s="26"/>
    </x:row>
    <x:row r="420" ht="42" customHeight="1">
      <x:c r="D420" s="26"/>
      <x:c r="E420" s="26"/>
      <x:c r="F420" s="26"/>
      <x:c r="G420" s="26"/>
      <x:c r="H420" s="26"/>
      <x:c r="I420" s="26"/>
      <x:c r="J420" s="26"/>
      <x:c r="K420" s="26"/>
      <x:c r="L420" s="26"/>
    </x:row>
    <x:row r="421" ht="42" customHeight="1">
      <x:c r="D421" s="26"/>
      <x:c r="E421" s="26"/>
      <x:c r="F421" s="26"/>
      <x:c r="G421" s="26"/>
      <x:c r="H421" s="26"/>
      <x:c r="I421" s="26"/>
      <x:c r="J421" s="26"/>
      <x:c r="K421" s="26"/>
      <x:c r="L421" s="26"/>
    </x:row>
    <x:row r="422" ht="42" customHeight="1">
      <x:c r="D422" s="26"/>
      <x:c r="E422" s="26"/>
      <x:c r="F422" s="26"/>
      <x:c r="G422" s="26"/>
      <x:c r="H422" s="26"/>
      <x:c r="I422" s="26"/>
      <x:c r="J422" s="26"/>
      <x:c r="K422" s="26"/>
      <x:c r="L422" s="26"/>
    </x:row>
    <x:row r="423" ht="42" customHeight="1">
      <x:c r="D423" s="26"/>
      <x:c r="E423" s="26"/>
      <x:c r="F423" s="26"/>
      <x:c r="G423" s="26"/>
      <x:c r="H423" s="26"/>
      <x:c r="I423" s="26"/>
      <x:c r="J423" s="26"/>
      <x:c r="K423" s="26"/>
      <x:c r="L423" s="26"/>
    </x:row>
    <x:row r="424" ht="42" customHeight="1">
      <x:c r="D424" s="26"/>
      <x:c r="E424" s="26"/>
      <x:c r="F424" s="26"/>
      <x:c r="G424" s="26"/>
      <x:c r="H424" s="26"/>
      <x:c r="I424" s="26"/>
      <x:c r="J424" s="26"/>
      <x:c r="K424" s="26"/>
      <x:c r="L424" s="26"/>
    </x:row>
    <x:row r="425" ht="42" customHeight="1">
      <x:c r="D425" s="26"/>
      <x:c r="E425" s="26"/>
      <x:c r="F425" s="26"/>
      <x:c r="G425" s="26"/>
      <x:c r="H425" s="26"/>
      <x:c r="I425" s="26"/>
      <x:c r="J425" s="26"/>
      <x:c r="K425" s="26"/>
      <x:c r="L425" s="26"/>
    </x:row>
    <x:row r="426" ht="42" customHeight="1">
      <x:c r="D426" s="26"/>
      <x:c r="E426" s="26"/>
      <x:c r="F426" s="26"/>
      <x:c r="G426" s="26"/>
      <x:c r="H426" s="26"/>
      <x:c r="I426" s="26"/>
      <x:c r="J426" s="26"/>
      <x:c r="K426" s="26"/>
      <x:c r="L426" s="26"/>
    </x:row>
    <x:row r="427" ht="42" customHeight="1">
      <x:c r="D427" s="26"/>
      <x:c r="E427" s="26"/>
      <x:c r="F427" s="26"/>
      <x:c r="G427" s="26"/>
      <x:c r="H427" s="26"/>
      <x:c r="I427" s="26"/>
      <x:c r="J427" s="26"/>
      <x:c r="K427" s="26"/>
      <x:c r="L427" s="26"/>
    </x:row>
    <x:row r="428" ht="42" customHeight="1">
      <x:c r="D428" s="26"/>
      <x:c r="E428" s="26"/>
      <x:c r="F428" s="26"/>
      <x:c r="G428" s="26"/>
      <x:c r="H428" s="26"/>
      <x:c r="I428" s="26"/>
      <x:c r="J428" s="26"/>
      <x:c r="K428" s="26"/>
      <x:c r="L428" s="26"/>
    </x:row>
    <x:row r="429" ht="42" customHeight="1">
      <x:c r="D429" s="26"/>
      <x:c r="E429" s="26"/>
      <x:c r="F429" s="26"/>
      <x:c r="G429" s="26"/>
      <x:c r="H429" s="26"/>
      <x:c r="I429" s="26"/>
      <x:c r="J429" s="26"/>
      <x:c r="K429" s="26"/>
      <x:c r="L429" s="26"/>
    </x:row>
    <x:row r="430" ht="42" customHeight="1">
      <x:c r="D430" s="26"/>
      <x:c r="E430" s="26"/>
      <x:c r="F430" s="26"/>
      <x:c r="G430" s="26"/>
      <x:c r="H430" s="26"/>
      <x:c r="I430" s="26"/>
      <x:c r="J430" s="26"/>
      <x:c r="K430" s="26"/>
      <x:c r="L430" s="26"/>
    </x:row>
    <x:row r="431" ht="42" customHeight="1">
      <x:c r="D431" s="26"/>
      <x:c r="E431" s="26"/>
      <x:c r="F431" s="26"/>
      <x:c r="G431" s="26"/>
      <x:c r="H431" s="26"/>
      <x:c r="I431" s="26"/>
      <x:c r="J431" s="26"/>
      <x:c r="K431" s="26"/>
      <x:c r="L431" s="26"/>
    </x:row>
    <x:row r="432" ht="42" customHeight="1">
      <x:c r="D432" s="26"/>
      <x:c r="E432" s="26"/>
      <x:c r="F432" s="26"/>
      <x:c r="G432" s="26"/>
      <x:c r="H432" s="26"/>
      <x:c r="I432" s="26"/>
      <x:c r="J432" s="26"/>
      <x:c r="K432" s="26"/>
      <x:c r="L432" s="26"/>
    </x:row>
    <x:row r="433" ht="42" customHeight="1">
      <x:c r="D433" s="26"/>
      <x:c r="E433" s="26"/>
      <x:c r="F433" s="26"/>
      <x:c r="G433" s="26"/>
      <x:c r="H433" s="26"/>
      <x:c r="I433" s="26"/>
      <x:c r="J433" s="26"/>
      <x:c r="K433" s="26"/>
      <x:c r="L433" s="26"/>
    </x:row>
    <x:row r="434" ht="42" customHeight="1">
      <x:c r="D434" s="26"/>
      <x:c r="E434" s="26"/>
      <x:c r="F434" s="26"/>
      <x:c r="G434" s="26"/>
      <x:c r="H434" s="26"/>
      <x:c r="I434" s="26"/>
      <x:c r="J434" s="26"/>
      <x:c r="K434" s="26"/>
      <x:c r="L434" s="26"/>
    </x:row>
    <x:row r="435" ht="42" customHeight="1">
      <x:c r="D435" s="26"/>
      <x:c r="E435" s="26"/>
      <x:c r="F435" s="26"/>
      <x:c r="G435" s="26"/>
      <x:c r="H435" s="26"/>
      <x:c r="I435" s="26"/>
      <x:c r="J435" s="26"/>
      <x:c r="K435" s="26"/>
      <x:c r="L435" s="26"/>
    </x:row>
    <x:row r="436" ht="42" customHeight="1">
      <x:c r="D436" s="26"/>
      <x:c r="E436" s="26"/>
      <x:c r="F436" s="26"/>
      <x:c r="G436" s="26"/>
      <x:c r="H436" s="26"/>
      <x:c r="I436" s="26"/>
      <x:c r="J436" s="26"/>
      <x:c r="K436" s="26"/>
      <x:c r="L436" s="26"/>
    </x:row>
    <x:row r="437" ht="42" customHeight="1">
      <x:c r="D437" s="26"/>
      <x:c r="E437" s="26"/>
      <x:c r="F437" s="26"/>
      <x:c r="G437" s="26"/>
      <x:c r="H437" s="26"/>
      <x:c r="I437" s="26"/>
      <x:c r="J437" s="26"/>
      <x:c r="K437" s="26"/>
      <x:c r="L437" s="26"/>
    </x:row>
    <x:row r="438" ht="42" customHeight="1">
      <x:c r="D438" s="26"/>
      <x:c r="E438" s="26"/>
      <x:c r="F438" s="26"/>
      <x:c r="G438" s="26"/>
      <x:c r="H438" s="26"/>
      <x:c r="I438" s="26"/>
      <x:c r="J438" s="26"/>
      <x:c r="K438" s="26"/>
      <x:c r="L438" s="26"/>
    </x:row>
    <x:row r="439" ht="42" customHeight="1">
      <x:c r="D439" s="26"/>
      <x:c r="E439" s="26"/>
      <x:c r="F439" s="26"/>
      <x:c r="G439" s="26"/>
      <x:c r="H439" s="26"/>
      <x:c r="I439" s="26"/>
      <x:c r="J439" s="26"/>
      <x:c r="K439" s="26"/>
      <x:c r="L439" s="26"/>
    </x:row>
    <x:row r="440" ht="42" customHeight="1">
      <x:c r="D440" s="26"/>
      <x:c r="E440" s="26"/>
      <x:c r="F440" s="26"/>
      <x:c r="G440" s="26"/>
      <x:c r="H440" s="26"/>
      <x:c r="I440" s="26"/>
      <x:c r="J440" s="26"/>
      <x:c r="K440" s="26"/>
      <x:c r="L440" s="26"/>
    </x:row>
    <x:row r="441" ht="42" customHeight="1">
      <x:c r="D441" s="26"/>
      <x:c r="E441" s="26"/>
      <x:c r="F441" s="26"/>
      <x:c r="G441" s="26"/>
      <x:c r="H441" s="26"/>
      <x:c r="I441" s="26"/>
      <x:c r="J441" s="26"/>
      <x:c r="K441" s="26"/>
      <x:c r="L441" s="26"/>
    </x:row>
    <x:row r="442" ht="42" customHeight="1">
      <x:c r="D442" s="26"/>
      <x:c r="E442" s="26"/>
      <x:c r="F442" s="26"/>
      <x:c r="G442" s="26"/>
      <x:c r="H442" s="26"/>
      <x:c r="I442" s="26"/>
      <x:c r="J442" s="26"/>
      <x:c r="K442" s="26"/>
      <x:c r="L442" s="26"/>
    </x:row>
    <x:row r="443" ht="42" customHeight="1">
      <x:c r="D443" s="26"/>
      <x:c r="E443" s="26"/>
      <x:c r="F443" s="26"/>
      <x:c r="G443" s="26"/>
      <x:c r="H443" s="26"/>
      <x:c r="I443" s="26"/>
      <x:c r="J443" s="26"/>
      <x:c r="K443" s="26"/>
      <x:c r="L443" s="26"/>
    </x:row>
    <x:row r="444" ht="42" customHeight="1">
      <x:c r="D444" s="26"/>
      <x:c r="E444" s="26"/>
      <x:c r="F444" s="26"/>
      <x:c r="G444" s="26"/>
      <x:c r="H444" s="26"/>
      <x:c r="I444" s="26"/>
      <x:c r="J444" s="26"/>
      <x:c r="K444" s="26"/>
      <x:c r="L444" s="26"/>
    </x:row>
    <x:row r="445" ht="42" customHeight="1">
      <x:c r="D445" s="26"/>
      <x:c r="E445" s="26"/>
      <x:c r="F445" s="26"/>
      <x:c r="G445" s="26"/>
      <x:c r="H445" s="26"/>
      <x:c r="I445" s="26"/>
      <x:c r="J445" s="26"/>
      <x:c r="K445" s="26"/>
      <x:c r="L445" s="26"/>
    </x:row>
    <x:row r="446" ht="42" customHeight="1">
      <x:c r="D446" s="26"/>
      <x:c r="E446" s="26"/>
      <x:c r="F446" s="26"/>
      <x:c r="G446" s="26"/>
      <x:c r="H446" s="26"/>
      <x:c r="I446" s="26"/>
      <x:c r="J446" s="26"/>
      <x:c r="K446" s="26"/>
      <x:c r="L446" s="26"/>
    </x:row>
    <x:row r="447" ht="42" customHeight="1">
      <x:c r="D447" s="26"/>
      <x:c r="E447" s="26"/>
      <x:c r="F447" s="26"/>
      <x:c r="G447" s="26"/>
      <x:c r="H447" s="26"/>
      <x:c r="I447" s="26"/>
      <x:c r="J447" s="26"/>
      <x:c r="K447" s="26"/>
      <x:c r="L447" s="26"/>
    </x:row>
    <x:row r="448" ht="42" customHeight="1">
      <x:c r="D448" s="26"/>
      <x:c r="E448" s="26"/>
      <x:c r="F448" s="26"/>
      <x:c r="G448" s="26"/>
      <x:c r="H448" s="26"/>
      <x:c r="I448" s="26"/>
      <x:c r="J448" s="26"/>
      <x:c r="K448" s="26"/>
      <x:c r="L448" s="26"/>
    </x:row>
    <x:row r="449" ht="42" customHeight="1">
      <x:c r="D449" s="26"/>
      <x:c r="E449" s="26"/>
      <x:c r="F449" s="26"/>
      <x:c r="G449" s="26"/>
      <x:c r="H449" s="26"/>
      <x:c r="I449" s="26"/>
      <x:c r="J449" s="26"/>
      <x:c r="K449" s="26"/>
      <x:c r="L449" s="26"/>
    </x:row>
    <x:row r="450" ht="42" customHeight="1">
      <x:c r="D450" s="26"/>
      <x:c r="E450" s="26"/>
      <x:c r="F450" s="26"/>
      <x:c r="G450" s="26"/>
      <x:c r="H450" s="26"/>
      <x:c r="I450" s="26"/>
      <x:c r="J450" s="26"/>
      <x:c r="K450" s="26"/>
      <x:c r="L450" s="26"/>
    </x:row>
    <x:row r="451" ht="42" customHeight="1">
      <x:c r="D451" s="26"/>
      <x:c r="E451" s="26"/>
      <x:c r="F451" s="26"/>
      <x:c r="G451" s="26"/>
      <x:c r="H451" s="26"/>
      <x:c r="I451" s="26"/>
      <x:c r="J451" s="26"/>
      <x:c r="K451" s="26"/>
      <x:c r="L451" s="26"/>
    </x:row>
    <x:row r="452" ht="42" customHeight="1">
      <x:c r="D452" s="26"/>
      <x:c r="E452" s="26"/>
      <x:c r="F452" s="26"/>
      <x:c r="G452" s="26"/>
      <x:c r="H452" s="26"/>
      <x:c r="I452" s="26"/>
      <x:c r="J452" s="26"/>
      <x:c r="K452" s="26"/>
      <x:c r="L452" s="26"/>
    </x:row>
    <x:row r="453" ht="42" customHeight="1">
      <x:c r="D453" s="26"/>
      <x:c r="E453" s="26"/>
      <x:c r="F453" s="26"/>
      <x:c r="G453" s="26"/>
      <x:c r="H453" s="26"/>
      <x:c r="I453" s="26"/>
      <x:c r="J453" s="26"/>
      <x:c r="K453" s="26"/>
      <x:c r="L453" s="26"/>
    </x:row>
    <x:row r="454" ht="42" customHeight="1">
      <x:c r="D454" s="26"/>
      <x:c r="E454" s="26"/>
      <x:c r="F454" s="26"/>
      <x:c r="G454" s="26"/>
      <x:c r="H454" s="26"/>
      <x:c r="I454" s="26"/>
      <x:c r="J454" s="26"/>
      <x:c r="K454" s="26"/>
      <x:c r="L454" s="26"/>
    </x:row>
    <x:row r="455" ht="42" customHeight="1">
      <x:c r="D455" s="26"/>
      <x:c r="E455" s="26"/>
      <x:c r="F455" s="26"/>
      <x:c r="G455" s="26"/>
      <x:c r="H455" s="26"/>
      <x:c r="I455" s="26"/>
      <x:c r="J455" s="26"/>
      <x:c r="K455" s="26"/>
      <x:c r="L455" s="26"/>
    </x:row>
    <x:row r="456" ht="42" customHeight="1">
      <x:c r="D456" s="26"/>
      <x:c r="E456" s="26"/>
      <x:c r="F456" s="26"/>
      <x:c r="G456" s="26"/>
      <x:c r="H456" s="26"/>
      <x:c r="I456" s="26"/>
      <x:c r="J456" s="26"/>
      <x:c r="K456" s="26"/>
      <x:c r="L456" s="26"/>
    </x:row>
    <x:row r="457" ht="42" customHeight="1">
      <x:c r="D457" s="26"/>
      <x:c r="E457" s="26"/>
      <x:c r="F457" s="26"/>
      <x:c r="G457" s="26"/>
      <x:c r="H457" s="26"/>
      <x:c r="I457" s="26"/>
      <x:c r="J457" s="26"/>
      <x:c r="K457" s="26"/>
      <x:c r="L457" s="26"/>
    </x:row>
    <x:row r="458" ht="42" customHeight="1">
      <x:c r="D458" s="26"/>
      <x:c r="E458" s="26"/>
      <x:c r="F458" s="26"/>
      <x:c r="G458" s="26"/>
      <x:c r="H458" s="26"/>
      <x:c r="I458" s="26"/>
      <x:c r="J458" s="26"/>
      <x:c r="K458" s="26"/>
      <x:c r="L458" s="26"/>
    </x:row>
    <x:row r="459" ht="42" customHeight="1">
      <x:c r="D459" s="26"/>
      <x:c r="E459" s="26"/>
      <x:c r="F459" s="26"/>
      <x:c r="G459" s="26"/>
      <x:c r="H459" s="26"/>
      <x:c r="I459" s="26"/>
      <x:c r="J459" s="26"/>
      <x:c r="K459" s="26"/>
      <x:c r="L459" s="26"/>
    </x:row>
    <x:row r="460" ht="42" customHeight="1">
      <x:c r="D460" s="26"/>
      <x:c r="E460" s="26"/>
      <x:c r="F460" s="26"/>
      <x:c r="G460" s="26"/>
      <x:c r="H460" s="26"/>
      <x:c r="I460" s="26"/>
      <x:c r="J460" s="26"/>
      <x:c r="K460" s="26"/>
      <x:c r="L460" s="26"/>
    </x:row>
    <x:row r="461" ht="42" customHeight="1">
      <x:c r="D461" s="26"/>
      <x:c r="E461" s="26"/>
      <x:c r="F461" s="26"/>
      <x:c r="G461" s="26"/>
      <x:c r="H461" s="26"/>
      <x:c r="I461" s="26"/>
      <x:c r="J461" s="26"/>
      <x:c r="K461" s="26"/>
      <x:c r="L461" s="26"/>
    </x:row>
    <x:row r="462" ht="42" customHeight="1">
      <x:c r="D462" s="26"/>
      <x:c r="E462" s="26"/>
      <x:c r="F462" s="26"/>
      <x:c r="G462" s="26"/>
      <x:c r="H462" s="26"/>
      <x:c r="I462" s="26"/>
      <x:c r="J462" s="26"/>
      <x:c r="K462" s="26"/>
      <x:c r="L462" s="26"/>
    </x:row>
    <x:row r="463" ht="42" customHeight="1">
      <x:c r="D463" s="26"/>
      <x:c r="E463" s="26"/>
      <x:c r="F463" s="26"/>
      <x:c r="G463" s="26"/>
      <x:c r="H463" s="26"/>
      <x:c r="I463" s="26"/>
      <x:c r="J463" s="26"/>
      <x:c r="K463" s="26"/>
      <x:c r="L463" s="26"/>
    </x:row>
    <x:row r="464" ht="42" customHeight="1">
      <x:c r="D464" s="26"/>
      <x:c r="E464" s="26"/>
      <x:c r="F464" s="26"/>
      <x:c r="G464" s="26"/>
      <x:c r="H464" s="26"/>
      <x:c r="I464" s="26"/>
      <x:c r="J464" s="26"/>
      <x:c r="K464" s="26"/>
      <x:c r="L464" s="26"/>
    </x:row>
    <x:row r="465" ht="42" customHeight="1">
      <x:c r="D465" s="26"/>
      <x:c r="E465" s="26"/>
      <x:c r="F465" s="26"/>
      <x:c r="G465" s="26"/>
      <x:c r="H465" s="26"/>
      <x:c r="I465" s="26"/>
      <x:c r="J465" s="26"/>
      <x:c r="K465" s="26"/>
      <x:c r="L465" s="26"/>
    </x:row>
    <x:row r="466" ht="42" customHeight="1">
      <x:c r="D466" s="26"/>
      <x:c r="E466" s="26"/>
      <x:c r="F466" s="26"/>
      <x:c r="G466" s="26"/>
      <x:c r="H466" s="26"/>
      <x:c r="I466" s="26"/>
      <x:c r="J466" s="26"/>
      <x:c r="K466" s="26"/>
      <x:c r="L466" s="26"/>
    </x:row>
    <x:row r="467" ht="42" customHeight="1">
      <x:c r="D467" s="26"/>
      <x:c r="E467" s="26"/>
      <x:c r="F467" s="26"/>
      <x:c r="G467" s="26"/>
      <x:c r="H467" s="26"/>
      <x:c r="I467" s="26"/>
      <x:c r="J467" s="26"/>
      <x:c r="K467" s="26"/>
      <x:c r="L467" s="26"/>
    </x:row>
    <x:row r="468" ht="42" customHeight="1">
      <x:c r="D468" s="26"/>
      <x:c r="E468" s="26"/>
      <x:c r="F468" s="26"/>
      <x:c r="G468" s="26"/>
      <x:c r="H468" s="26"/>
      <x:c r="I468" s="26"/>
      <x:c r="J468" s="26"/>
      <x:c r="K468" s="26"/>
      <x:c r="L468" s="26"/>
    </x:row>
    <x:row r="469" ht="42" customHeight="1">
      <x:c r="D469" s="26"/>
      <x:c r="E469" s="26"/>
      <x:c r="F469" s="26"/>
      <x:c r="G469" s="26"/>
      <x:c r="H469" s="26"/>
      <x:c r="I469" s="26"/>
      <x:c r="J469" s="26"/>
      <x:c r="K469" s="26"/>
      <x:c r="L469" s="26"/>
    </x:row>
    <x:row r="470" ht="42" customHeight="1">
      <x:c r="D470" s="26"/>
      <x:c r="E470" s="26"/>
      <x:c r="F470" s="26"/>
      <x:c r="G470" s="26"/>
      <x:c r="H470" s="26"/>
      <x:c r="I470" s="26"/>
      <x:c r="J470" s="26"/>
      <x:c r="K470" s="26"/>
      <x:c r="L470" s="26"/>
    </x:row>
    <x:row r="471" ht="42" customHeight="1">
      <x:c r="D471" s="26"/>
      <x:c r="E471" s="26"/>
      <x:c r="F471" s="26"/>
      <x:c r="G471" s="26"/>
      <x:c r="H471" s="26"/>
      <x:c r="I471" s="26"/>
      <x:c r="J471" s="26"/>
      <x:c r="K471" s="26"/>
      <x:c r="L471" s="26"/>
    </x:row>
    <x:row r="472" ht="42" customHeight="1">
      <x:c r="D472" s="26"/>
      <x:c r="E472" s="26"/>
      <x:c r="F472" s="26"/>
      <x:c r="G472" s="26"/>
      <x:c r="H472" s="26"/>
      <x:c r="I472" s="26"/>
      <x:c r="J472" s="26"/>
      <x:c r="K472" s="26"/>
      <x:c r="L472" s="26"/>
    </x:row>
    <x:row r="473" ht="42" customHeight="1">
      <x:c r="D473" s="26"/>
      <x:c r="E473" s="26"/>
      <x:c r="F473" s="26"/>
      <x:c r="G473" s="26"/>
      <x:c r="H473" s="26"/>
      <x:c r="I473" s="26"/>
      <x:c r="J473" s="26"/>
      <x:c r="K473" s="26"/>
      <x:c r="L473" s="26"/>
    </x:row>
    <x:row r="474" ht="42" customHeight="1">
      <x:c r="D474" s="26"/>
      <x:c r="E474" s="26"/>
      <x:c r="F474" s="26"/>
      <x:c r="G474" s="26"/>
      <x:c r="H474" s="26"/>
      <x:c r="I474" s="26"/>
      <x:c r="J474" s="26"/>
      <x:c r="K474" s="26"/>
      <x:c r="L474" s="26"/>
    </x:row>
    <x:row r="475" ht="42" customHeight="1">
      <x:c r="D475" s="26"/>
      <x:c r="E475" s="26"/>
      <x:c r="F475" s="26"/>
      <x:c r="G475" s="26"/>
      <x:c r="H475" s="26"/>
      <x:c r="I475" s="26"/>
      <x:c r="J475" s="26"/>
      <x:c r="K475" s="26"/>
      <x:c r="L475" s="26"/>
    </x:row>
    <x:row r="476" ht="42" customHeight="1">
      <x:c r="D476" s="26"/>
      <x:c r="E476" s="26"/>
      <x:c r="F476" s="26"/>
      <x:c r="G476" s="26"/>
      <x:c r="H476" s="26"/>
      <x:c r="I476" s="26"/>
      <x:c r="J476" s="26"/>
      <x:c r="K476" s="26"/>
      <x:c r="L476" s="26"/>
    </x:row>
    <x:row r="477" ht="42" customHeight="1">
      <x:c r="D477" s="26"/>
      <x:c r="E477" s="26"/>
      <x:c r="F477" s="26"/>
      <x:c r="G477" s="26"/>
      <x:c r="H477" s="26"/>
      <x:c r="I477" s="26"/>
      <x:c r="J477" s="26"/>
      <x:c r="K477" s="26"/>
      <x:c r="L477" s="26"/>
    </x:row>
    <x:row r="478" ht="42" customHeight="1">
      <x:c r="D478" s="26"/>
      <x:c r="E478" s="26"/>
      <x:c r="F478" s="26"/>
      <x:c r="G478" s="26"/>
      <x:c r="H478" s="26"/>
      <x:c r="I478" s="26"/>
      <x:c r="J478" s="26"/>
      <x:c r="K478" s="26"/>
      <x:c r="L478" s="26"/>
    </x:row>
    <x:row r="479" ht="42" customHeight="1">
      <x:c r="D479" s="26"/>
      <x:c r="E479" s="26"/>
      <x:c r="F479" s="26"/>
      <x:c r="G479" s="26"/>
      <x:c r="H479" s="26"/>
      <x:c r="I479" s="26"/>
      <x:c r="J479" s="26"/>
      <x:c r="K479" s="26"/>
      <x:c r="L479" s="26"/>
    </x:row>
    <x:row r="480" ht="42" customHeight="1">
      <x:c r="D480" s="26"/>
      <x:c r="E480" s="26"/>
      <x:c r="F480" s="26"/>
      <x:c r="G480" s="26"/>
      <x:c r="H480" s="26"/>
      <x:c r="I480" s="26"/>
      <x:c r="J480" s="26"/>
      <x:c r="K480" s="26"/>
      <x:c r="L480" s="26"/>
    </x:row>
    <x:row r="481" ht="42" customHeight="1">
      <x:c r="D481" s="26"/>
      <x:c r="E481" s="26"/>
      <x:c r="F481" s="26"/>
      <x:c r="G481" s="26"/>
      <x:c r="H481" s="26"/>
      <x:c r="I481" s="26"/>
      <x:c r="J481" s="26"/>
      <x:c r="K481" s="26"/>
      <x:c r="L481" s="26"/>
    </x:row>
    <x:row r="482" ht="42" customHeight="1">
      <x:c r="D482" s="26"/>
      <x:c r="E482" s="26"/>
      <x:c r="F482" s="26"/>
      <x:c r="G482" s="26"/>
      <x:c r="H482" s="26"/>
      <x:c r="I482" s="26"/>
      <x:c r="J482" s="26"/>
      <x:c r="K482" s="26"/>
      <x:c r="L482" s="26"/>
    </x:row>
    <x:row r="483" ht="42" customHeight="1">
      <x:c r="D483" s="26"/>
      <x:c r="E483" s="26"/>
      <x:c r="F483" s="26"/>
      <x:c r="G483" s="26"/>
      <x:c r="H483" s="26"/>
      <x:c r="I483" s="26"/>
      <x:c r="J483" s="26"/>
      <x:c r="K483" s="26"/>
      <x:c r="L483" s="26"/>
    </x:row>
    <x:row r="484" ht="42" customHeight="1">
      <x:c r="D484" s="26"/>
      <x:c r="E484" s="26"/>
      <x:c r="F484" s="26"/>
      <x:c r="G484" s="26"/>
      <x:c r="H484" s="26"/>
      <x:c r="I484" s="26"/>
      <x:c r="J484" s="26"/>
      <x:c r="K484" s="26"/>
      <x:c r="L484" s="26"/>
    </x:row>
    <x:row r="485" ht="42" customHeight="1">
      <x:c r="D485" s="26"/>
      <x:c r="E485" s="26"/>
      <x:c r="F485" s="26"/>
      <x:c r="G485" s="26"/>
      <x:c r="H485" s="26"/>
      <x:c r="I485" s="26"/>
      <x:c r="J485" s="26"/>
      <x:c r="K485" s="26"/>
      <x:c r="L485" s="26"/>
    </x:row>
    <x:row r="486" ht="42" customHeight="1">
      <x:c r="D486" s="26"/>
      <x:c r="E486" s="26"/>
      <x:c r="F486" s="26"/>
      <x:c r="G486" s="26"/>
      <x:c r="H486" s="26"/>
      <x:c r="I486" s="26"/>
      <x:c r="J486" s="26"/>
      <x:c r="K486" s="26"/>
      <x:c r="L486" s="26"/>
    </x:row>
    <x:row r="487" ht="42" customHeight="1">
      <x:c r="D487" s="26"/>
      <x:c r="E487" s="26"/>
      <x:c r="F487" s="26"/>
      <x:c r="G487" s="26"/>
      <x:c r="H487" s="26"/>
      <x:c r="I487" s="26"/>
      <x:c r="J487" s="26"/>
      <x:c r="K487" s="26"/>
      <x:c r="L487" s="26"/>
    </x:row>
    <x:row r="488" ht="42" customHeight="1">
      <x:c r="D488" s="26"/>
      <x:c r="E488" s="26"/>
      <x:c r="F488" s="26"/>
      <x:c r="G488" s="26"/>
      <x:c r="H488" s="26"/>
      <x:c r="I488" s="26"/>
      <x:c r="J488" s="26"/>
      <x:c r="K488" s="26"/>
      <x:c r="L488" s="26"/>
    </x:row>
    <x:row r="489" ht="42" customHeight="1">
      <x:c r="D489" s="26"/>
      <x:c r="E489" s="26"/>
      <x:c r="F489" s="26"/>
      <x:c r="G489" s="26"/>
      <x:c r="H489" s="26"/>
      <x:c r="I489" s="26"/>
      <x:c r="J489" s="26"/>
      <x:c r="K489" s="26"/>
      <x:c r="L489" s="26"/>
    </x:row>
    <x:row r="490" ht="42" customHeight="1">
      <x:c r="D490" s="26"/>
      <x:c r="E490" s="26"/>
      <x:c r="F490" s="26"/>
      <x:c r="G490" s="26"/>
      <x:c r="H490" s="26"/>
      <x:c r="I490" s="26"/>
      <x:c r="J490" s="26"/>
      <x:c r="K490" s="26"/>
      <x:c r="L490" s="26"/>
    </x:row>
    <x:row r="491" ht="42" customHeight="1">
      <x:c r="D491" s="26"/>
      <x:c r="E491" s="26"/>
      <x:c r="F491" s="26"/>
      <x:c r="G491" s="26"/>
      <x:c r="H491" s="26"/>
      <x:c r="I491" s="26"/>
      <x:c r="J491" s="26"/>
      <x:c r="K491" s="26"/>
      <x:c r="L491" s="26"/>
    </x:row>
    <x:row r="492" ht="42" customHeight="1">
      <x:c r="D492" s="26"/>
      <x:c r="E492" s="26"/>
      <x:c r="F492" s="26"/>
      <x:c r="G492" s="26"/>
      <x:c r="H492" s="26"/>
      <x:c r="I492" s="26"/>
      <x:c r="J492" s="26"/>
      <x:c r="K492" s="26"/>
      <x:c r="L492" s="26"/>
    </x:row>
    <x:row r="493" ht="42" customHeight="1">
      <x:c r="D493" s="26"/>
      <x:c r="E493" s="26"/>
      <x:c r="F493" s="26"/>
      <x:c r="G493" s="26"/>
      <x:c r="H493" s="26"/>
      <x:c r="I493" s="26"/>
      <x:c r="J493" s="26"/>
      <x:c r="K493" s="26"/>
      <x:c r="L493" s="26"/>
    </x:row>
    <x:row r="494" ht="42" customHeight="1">
      <x:c r="D494" s="26"/>
      <x:c r="E494" s="26"/>
      <x:c r="F494" s="26"/>
      <x:c r="G494" s="26"/>
      <x:c r="H494" s="26"/>
      <x:c r="I494" s="26"/>
      <x:c r="J494" s="26"/>
      <x:c r="K494" s="26"/>
      <x:c r="L494" s="26"/>
    </x:row>
    <x:row r="495" ht="42" customHeight="1">
      <x:c r="D495" s="26"/>
      <x:c r="E495" s="26"/>
      <x:c r="F495" s="26"/>
      <x:c r="G495" s="26"/>
      <x:c r="H495" s="26"/>
      <x:c r="I495" s="26"/>
      <x:c r="J495" s="26"/>
      <x:c r="K495" s="26"/>
      <x:c r="L495" s="26"/>
    </x:row>
    <x:row r="496" ht="42" customHeight="1">
      <x:c r="D496" s="26"/>
      <x:c r="E496" s="26"/>
      <x:c r="F496" s="26"/>
      <x:c r="G496" s="26"/>
      <x:c r="H496" s="26"/>
      <x:c r="I496" s="26"/>
      <x:c r="J496" s="26"/>
      <x:c r="K496" s="26"/>
      <x:c r="L496" s="26"/>
    </x:row>
    <x:row r="497" ht="42" customHeight="1">
      <x:c r="D497" s="26"/>
      <x:c r="E497" s="26"/>
      <x:c r="F497" s="26"/>
      <x:c r="G497" s="26"/>
      <x:c r="H497" s="26"/>
      <x:c r="I497" s="26"/>
      <x:c r="J497" s="26"/>
      <x:c r="K497" s="26"/>
      <x:c r="L497" s="26"/>
    </x:row>
    <x:row r="498" ht="42" customHeight="1">
      <x:c r="D498" s="26"/>
      <x:c r="E498" s="26"/>
      <x:c r="F498" s="26"/>
      <x:c r="G498" s="26"/>
      <x:c r="H498" s="26"/>
      <x:c r="I498" s="26"/>
      <x:c r="J498" s="26"/>
      <x:c r="K498" s="26"/>
      <x:c r="L498" s="26"/>
    </x:row>
    <x:row r="499" ht="42" customHeight="1">
      <x:c r="D499" s="26"/>
      <x:c r="E499" s="26"/>
      <x:c r="F499" s="26"/>
      <x:c r="G499" s="26"/>
      <x:c r="H499" s="26"/>
      <x:c r="I499" s="26"/>
      <x:c r="J499" s="26"/>
      <x:c r="K499" s="26"/>
      <x:c r="L499" s="26"/>
    </x:row>
    <x:row r="500" ht="42" customHeight="1">
      <x:c r="D500" s="26"/>
      <x:c r="E500" s="26"/>
      <x:c r="F500" s="26"/>
      <x:c r="G500" s="26"/>
      <x:c r="H500" s="26"/>
      <x:c r="I500" s="26"/>
      <x:c r="J500" s="26"/>
      <x:c r="K500" s="26"/>
      <x:c r="L500" s="26"/>
    </x:row>
    <x:row r="501" ht="42" customHeight="1">
      <x:c r="D501" s="26"/>
      <x:c r="E501" s="26"/>
      <x:c r="F501" s="26"/>
      <x:c r="G501" s="26"/>
      <x:c r="H501" s="26"/>
      <x:c r="I501" s="26"/>
      <x:c r="J501" s="26"/>
      <x:c r="K501" s="26"/>
      <x:c r="L501" s="26"/>
    </x:row>
    <x:row r="502" ht="42" customHeight="1">
      <x:c r="D502" s="26"/>
      <x:c r="E502" s="26"/>
      <x:c r="F502" s="26"/>
      <x:c r="G502" s="26"/>
      <x:c r="H502" s="26"/>
      <x:c r="I502" s="26"/>
      <x:c r="J502" s="26"/>
      <x:c r="K502" s="26"/>
      <x:c r="L502" s="26"/>
    </x:row>
    <x:row r="503" ht="42" customHeight="1">
      <x:c r="D503" s="26"/>
      <x:c r="E503" s="26"/>
      <x:c r="F503" s="26"/>
      <x:c r="G503" s="26"/>
      <x:c r="H503" s="26"/>
      <x:c r="I503" s="26"/>
      <x:c r="J503" s="26"/>
      <x:c r="K503" s="26"/>
      <x:c r="L503" s="26"/>
    </x:row>
    <x:row r="504" ht="42" customHeight="1">
      <x:c r="D504" s="26"/>
      <x:c r="E504" s="26"/>
      <x:c r="F504" s="26"/>
      <x:c r="G504" s="26"/>
      <x:c r="H504" s="26"/>
      <x:c r="I504" s="26"/>
      <x:c r="J504" s="26"/>
      <x:c r="K504" s="26"/>
      <x:c r="L504" s="26"/>
    </x:row>
    <x:row r="505" ht="42" customHeight="1">
      <x:c r="D505" s="26"/>
      <x:c r="E505" s="26"/>
      <x:c r="F505" s="26"/>
      <x:c r="G505" s="26"/>
      <x:c r="H505" s="26"/>
      <x:c r="I505" s="26"/>
      <x:c r="J505" s="26"/>
      <x:c r="K505" s="26"/>
      <x:c r="L505" s="26"/>
    </x:row>
    <x:row r="506" ht="42" customHeight="1">
      <x:c r="D506" s="26"/>
      <x:c r="E506" s="26"/>
      <x:c r="F506" s="26"/>
      <x:c r="G506" s="26"/>
      <x:c r="H506" s="26"/>
      <x:c r="I506" s="26"/>
      <x:c r="J506" s="26"/>
      <x:c r="K506" s="26"/>
      <x:c r="L506" s="26"/>
    </x:row>
    <x:row r="507" ht="42" customHeight="1">
      <x:c r="D507" s="26"/>
      <x:c r="E507" s="26"/>
      <x:c r="F507" s="26"/>
      <x:c r="G507" s="26"/>
      <x:c r="H507" s="26"/>
      <x:c r="I507" s="26"/>
      <x:c r="J507" s="26"/>
      <x:c r="K507" s="26"/>
      <x:c r="L507" s="26"/>
    </x:row>
    <x:row r="508" ht="42" customHeight="1">
      <x:c r="D508" s="26"/>
      <x:c r="E508" s="26"/>
      <x:c r="F508" s="26"/>
      <x:c r="G508" s="26"/>
      <x:c r="H508" s="26"/>
      <x:c r="I508" s="26"/>
      <x:c r="J508" s="26"/>
      <x:c r="K508" s="26"/>
      <x:c r="L508" s="26"/>
    </x:row>
    <x:row r="509" ht="42" customHeight="1">
      <x:c r="D509" s="26"/>
      <x:c r="E509" s="26"/>
      <x:c r="F509" s="26"/>
      <x:c r="G509" s="26"/>
      <x:c r="H509" s="26"/>
      <x:c r="I509" s="26"/>
      <x:c r="J509" s="26"/>
      <x:c r="K509" s="26"/>
      <x:c r="L509" s="26"/>
    </x:row>
    <x:row r="510" ht="42" customHeight="1">
      <x:c r="D510" s="26"/>
      <x:c r="E510" s="26"/>
      <x:c r="F510" s="26"/>
      <x:c r="G510" s="26"/>
      <x:c r="H510" s="26"/>
      <x:c r="I510" s="26"/>
      <x:c r="J510" s="26"/>
      <x:c r="K510" s="26"/>
      <x:c r="L510" s="26"/>
    </x:row>
    <x:row r="511" ht="42" customHeight="1">
      <x:c r="D511" s="26"/>
      <x:c r="E511" s="26"/>
      <x:c r="F511" s="26"/>
      <x:c r="G511" s="26"/>
      <x:c r="H511" s="26"/>
      <x:c r="I511" s="26"/>
      <x:c r="J511" s="26"/>
      <x:c r="K511" s="26"/>
      <x:c r="L511" s="26"/>
    </x:row>
    <x:row r="512" ht="42" customHeight="1">
      <x:c r="D512" s="26"/>
      <x:c r="E512" s="26"/>
      <x:c r="F512" s="26"/>
      <x:c r="G512" s="26"/>
      <x:c r="H512" s="26"/>
      <x:c r="I512" s="26"/>
      <x:c r="J512" s="26"/>
      <x:c r="K512" s="26"/>
      <x:c r="L512" s="26"/>
    </x:row>
    <x:row r="513" ht="42" customHeight="1">
      <x:c r="D513" s="26"/>
      <x:c r="E513" s="26"/>
      <x:c r="F513" s="26"/>
      <x:c r="G513" s="26"/>
      <x:c r="H513" s="26"/>
      <x:c r="I513" s="26"/>
      <x:c r="J513" s="26"/>
      <x:c r="K513" s="26"/>
      <x:c r="L513" s="26"/>
    </x:row>
    <x:row r="514" ht="42" customHeight="1">
      <x:c r="D514" s="26"/>
      <x:c r="E514" s="26"/>
      <x:c r="F514" s="26"/>
      <x:c r="G514" s="26"/>
      <x:c r="H514" s="26"/>
      <x:c r="I514" s="26"/>
      <x:c r="J514" s="26"/>
      <x:c r="K514" s="26"/>
      <x:c r="L514" s="26"/>
    </x:row>
  </x:sheetData>
  <x:mergeCells>
    <x:mergeCell ref="A1:L1"/>
    <x:mergeCell ref="A2:L2"/>
  </x:mergeCells>
  <x:conditionalFormatting sqref="B5:B18">
    <x:cfRule type="dataBar" priority="1">
      <x:dataBar>
        <x:cfvo type="min"/>
        <x:cfvo type="max"/>
        <x:color rgb="FF2E8B78"/>
      </x:dataBar>
      <x:extLst>
        <x:ext xmlns:x14="http://schemas.microsoft.com/office/spreadsheetml/2009/9/main" uri="{B025F937-C7B1-47D3-B67F-A62EFF666E3E}">
          <x14:id>{9BD371A6-B073-ABF7-C5B4-64DBAD98FFBE}</x14:id>
        </x:ext>
      </x:extLst>
    </x:cfRule>
  </x:conditionalFormatting>
  <x:dataValidations count="1">
    <x:dataValidation type="list" sqref="F5:F514">
      <x:formula1>"Primary,Secondary"</x:formula1>
    </x:dataValidation>
  </x:dataValidations>
  <x:pageMargins left="0.7" right="0.7" top="0.75" bottom="0.75" header="0.3" footer="0.3"/>
  <x:drawing xmlns:r="http://schemas.openxmlformats.org/officeDocument/2006/relationships" r:id="R783e8ed6e8d141e8"/>
  <x:tableParts count="1">
    <x:tablePart xmlns:r="http://schemas.openxmlformats.org/officeDocument/2006/relationships" r:id="Ra9ce1913a1ac4090"/>
  </x:tableParts>
  <x:extLst>
    <x:ext xmlns:x14="http://schemas.microsoft.com/office/spreadsheetml/2009/9/main" xmlns:xm="http://schemas.microsoft.com/office/excel/2006/main" uri="{78C0D931-6437-407d-A8EE-F0AAD7539E65}">
      <x14:conditionalFormattings>
        <x14:conditionalFormatting>
          <x14:cfRule type="dataBar" priority="1" id="{9BD371A6-B073-ABF7-C5B4-64DBAD98FFBE}">
            <x14:dataBar gradient="1">
              <x14:cfvo type="min"/>
              <x14:cfvo type="max"/>
              <x14:fillColor rgb="FF2E8B78"/>
            </x14:dataBar>
          </x14:cfRule>
          <xm:sqref>B5:B18</xm:sqref>
        </x14:conditionalFormatting>
      </x14:conditionalFormattings>
    </x:ext>
  </x:extLst>
</x:worksheet>
</file>